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1 Blätter" sheetId="2" state="visible" r:id="rId2"/>
    <sheet name="2 Einfügen" sheetId="3" state="visible" r:id="rId3"/>
    <sheet name="3 Verknüpfen" sheetId="4" state="visible" r:id="rId4"/>
    <sheet name="4 Formatierung" sheetId="5" state="visible" r:id="rId5"/>
    <sheet name="5 Ausrichtung" sheetId="6" state="visible" r:id="rId6"/>
    <sheet name="6 Suchen+Ersetzen" sheetId="7" state="visible" r:id="rId7"/>
    <sheet name="7 Wildcards" sheetId="8" state="visible" r:id="rId8"/>
    <sheet name="8 Ausfüllen+Fixieren" sheetId="9" state="visible" r:id="rId9"/>
    <sheet name="9 Zahlenformate" sheetId="10" state="visible" r:id="rId10"/>
    <sheet name="10 Quelldaten" sheetId="11" state="visible" r:id="rId11"/>
    <sheet name="11 Zielbild" sheetId="12" state="visible" r:id="rId12"/>
    <sheet name="Versteckt" sheetId="13" state="hidden" r:id="rId13"/>
    <sheet name="Lösungen" sheetId="14" state="visible" r:id="rId14"/>
  </sheets>
  <definedNames>
    <definedName name="_xlnm._FilterDatabase" localSheetId="11" hidden="1">'11 Zielbild'!$B$9:$F$32</definedName>
  </definedNames>
  <calcPr calcId="124519" fullCalcOnLoad="1"/>
</workbook>
</file>

<file path=xl/styles.xml><?xml version="1.0" encoding="utf-8"?>
<styleSheet xmlns="http://schemas.openxmlformats.org/spreadsheetml/2006/main">
  <numFmts count="8">
    <numFmt numFmtId="164" formatCode="#,##0.00 &quot;€&quot;"/>
    <numFmt numFmtId="165" formatCode="0 %"/>
    <numFmt numFmtId="166" formatCode="#,##0.00 &quot;mm&quot;"/>
    <numFmt numFmtId="167" formatCode="[=1]0 &quot;Stück&quot;;#,##0 &quot;Stücke&quot;"/>
    <numFmt numFmtId="168" formatCode="yyyy-mm-dd"/>
    <numFmt numFmtId="169" formatCode="DD.MM.YYYY"/>
    <numFmt numFmtId="170" formatCode="HH:MM"/>
    <numFmt numFmtId="171" formatCode="#,##0 &quot;€&quot;"/>
  </numFmts>
  <fonts count="13">
    <font>
      <name val="Calibri"/>
      <family val="2"/>
      <color theme="1"/>
      <sz val="11"/>
      <scheme val="minor"/>
    </font>
    <font>
      <b val="1"/>
      <color rgb="001F4E79"/>
      <sz val="16"/>
    </font>
    <font>
      <sz val="11"/>
    </font>
    <font>
      <b val="1"/>
      <color rgb="002E75B6"/>
      <sz val="12"/>
    </font>
    <font>
      <b val="1"/>
      <color rgb="00FFFFFF"/>
      <sz val="11"/>
    </font>
    <font>
      <b val="1"/>
    </font>
    <font>
      <i val="1"/>
      <color rgb="00595959"/>
      <sz val="10"/>
    </font>
    <font>
      <b val="1"/>
      <sz val="11"/>
    </font>
    <font>
      <color rgb="00375623"/>
      <sz val="10"/>
    </font>
    <font>
      <b val="1"/>
      <sz val="13"/>
    </font>
    <font>
      <b val="1"/>
      <color rgb="001F4E79"/>
      <sz val="13"/>
    </font>
    <font>
      <b val="1"/>
      <color rgb="001F4E79"/>
      <sz val="14"/>
    </font>
    <font>
      <name val="Consolas"/>
      <sz val="10"/>
    </font>
  </fonts>
  <fills count="9">
    <fill>
      <patternFill/>
    </fill>
    <fill>
      <patternFill patternType="gray125"/>
    </fill>
    <fill>
      <patternFill patternType="solid">
        <fgColor rgb="00FFF2CC"/>
      </patternFill>
    </fill>
    <fill>
      <patternFill patternType="solid">
        <fgColor rgb="00F2F2F2"/>
      </patternFill>
    </fill>
    <fill>
      <patternFill patternType="solid">
        <fgColor rgb="00C6E0B4"/>
      </patternFill>
    </fill>
    <fill>
      <patternFill patternType="solid">
        <fgColor rgb="00BDD7EE"/>
      </patternFill>
    </fill>
    <fill>
      <patternFill patternType="solid">
        <fgColor rgb="00F8CBAD"/>
      </patternFill>
    </fill>
    <fill>
      <patternFill patternType="solid">
        <fgColor rgb="00FFC7CE"/>
      </patternFill>
    </fill>
    <fill>
      <patternFill patternType="solid">
        <fgColor rgb="001F4E79"/>
      </patternFill>
    </fill>
  </fills>
  <borders count="3">
    <border>
      <left/>
      <right/>
      <top/>
      <bottom/>
      <diagonal/>
    </border>
    <border>
      <left style="thin">
        <color rgb="007F7F7F"/>
      </left>
      <right style="thin">
        <color rgb="007F7F7F"/>
      </right>
      <top style="thin">
        <color rgb="007F7F7F"/>
      </top>
      <bottom style="thin">
        <color rgb="007F7F7F"/>
      </bottom>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2" borderId="1" pivotButton="0" quotePrefix="0" xfId="0"/>
    <xf numFmtId="0" fontId="2"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4" fillId="8" borderId="2" applyAlignment="1" pivotButton="0" quotePrefix="0" xfId="0">
      <alignment horizontal="center" vertical="center" wrapText="1"/>
    </xf>
    <xf numFmtId="0" fontId="5" fillId="0" borderId="2" pivotButton="0" quotePrefix="0" xfId="0"/>
    <xf numFmtId="0" fontId="0" fillId="0" borderId="2"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0" borderId="2" pivotButton="0" quotePrefix="0" xfId="0"/>
    <xf numFmtId="0" fontId="8" fillId="0" borderId="0" pivotButton="0" quotePrefix="0" xfId="0"/>
    <xf numFmtId="0" fontId="0" fillId="3" borderId="2" pivotButton="0" quotePrefix="0" xfId="0"/>
    <xf numFmtId="3" fontId="0" fillId="3" borderId="2" pivotButton="0" quotePrefix="0" xfId="0"/>
    <xf numFmtId="4" fontId="0" fillId="3" borderId="2" pivotButton="0" quotePrefix="0" xfId="0"/>
    <xf numFmtId="0" fontId="0" fillId="6" borderId="0" pivotButton="0" quotePrefix="0" xfId="0"/>
    <xf numFmtId="3" fontId="0" fillId="2" borderId="1" pivotButton="0" quotePrefix="0" xfId="0"/>
    <xf numFmtId="0" fontId="5" fillId="0" borderId="0" pivotButton="0" quotePrefix="0" xfId="0"/>
    <xf numFmtId="0" fontId="7" fillId="0" borderId="0" pivotButton="0" quotePrefix="0" xfId="0"/>
    <xf numFmtId="0" fontId="7" fillId="3" borderId="2" applyAlignment="1" pivotButton="0" quotePrefix="0" xfId="0">
      <alignment vertical="top" wrapText="1"/>
    </xf>
    <xf numFmtId="0" fontId="6" fillId="3" borderId="2" applyAlignment="1" pivotButton="0" quotePrefix="0" xfId="0">
      <alignment vertical="top" wrapText="1"/>
    </xf>
    <xf numFmtId="164" fontId="0" fillId="3" borderId="2" pivotButton="0" quotePrefix="0" xfId="0"/>
    <xf numFmtId="165" fontId="0" fillId="3" borderId="2" pivotButton="0" quotePrefix="0" xfId="0"/>
    <xf numFmtId="11" fontId="0" fillId="3" borderId="2" pivotButton="0" quotePrefix="0" xfId="0"/>
    <xf numFmtId="166" fontId="0" fillId="3" borderId="2" pivotButton="0" quotePrefix="0" xfId="0"/>
    <xf numFmtId="167" fontId="0" fillId="3" borderId="2" pivotButton="0" quotePrefix="0" xfId="0"/>
    <xf numFmtId="169" fontId="0" fillId="3" borderId="2" pivotButton="0" quotePrefix="0" xfId="0"/>
    <xf numFmtId="170" fontId="0" fillId="3" borderId="2" pivotButton="0" quotePrefix="0" xfId="0"/>
    <xf numFmtId="170" fontId="0" fillId="2" borderId="1" pivotButton="0" quotePrefix="0" xfId="0"/>
    <xf numFmtId="0" fontId="9" fillId="0" borderId="0" pivotButton="0" quotePrefix="0" xfId="0"/>
    <xf numFmtId="0" fontId="10" fillId="0" borderId="0" applyAlignment="1" pivotButton="0" quotePrefix="0" xfId="0">
      <alignment horizontal="center"/>
    </xf>
    <xf numFmtId="169" fontId="0" fillId="0" borderId="2" pivotButton="0" quotePrefix="0" xfId="0"/>
    <xf numFmtId="3" fontId="0" fillId="0" borderId="2" pivotButton="0" quotePrefix="0" xfId="0"/>
    <xf numFmtId="171" fontId="0" fillId="0" borderId="2" pivotButton="0" quotePrefix="0" xfId="0"/>
    <xf numFmtId="0" fontId="11" fillId="0" borderId="0" pivotButton="0" quotePrefix="0" xfId="0"/>
    <xf numFmtId="0" fontId="5" fillId="0" borderId="2" applyAlignment="1" pivotButton="0" quotePrefix="0" xfId="0">
      <alignment vertical="top"/>
    </xf>
    <xf numFmtId="0" fontId="1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B1:C35"/>
  <sheetViews>
    <sheetView showGridLines="0" workbookViewId="0">
      <selection activeCell="A1" sqref="A1"/>
    </sheetView>
  </sheetViews>
  <sheetFormatPr baseColWidth="8" defaultRowHeight="15"/>
  <cols>
    <col width="2" customWidth="1" min="1" max="1"/>
    <col width="95" customWidth="1" min="2" max="2"/>
    <col width="80" customWidth="1" min="3" max="3"/>
  </cols>
  <sheetData>
    <row r="1" ht="22" customHeight="1">
      <c r="B1" s="1" t="inlineStr">
        <is>
          <t>Übung 02_DataCleanUp.xlsx  -  Datenaufbereitung</t>
        </is>
      </c>
    </row>
    <row r="4" ht="56" customHeight="1">
      <c r="B4" s="2" t="inlineStr">
        <is>
          <t>In dieser Übung führst du Daten zusammen, bereinigst sie und bringst sie in eine Form, mit der man arbeiten kann. Zum Praxisfall am Ende gehören die beiden Blätter "10 Quelldaten" und "11 Zielbild": Du baust aus den Rohdaten das Zielbild nach.</t>
        </is>
      </c>
    </row>
    <row r="6">
      <c r="B6" s="3" t="inlineStr">
        <is>
          <t>So arbeitest du mit der Datei</t>
        </is>
      </c>
    </row>
    <row r="7" ht="14" customHeight="1">
      <c r="B7" s="2" t="inlineStr">
        <is>
          <t>1.  Lies die Aufgabe in Spalte B.</t>
        </is>
      </c>
    </row>
    <row r="8" ht="14" customHeight="1">
      <c r="B8" s="2" t="inlineStr">
        <is>
          <t>2.  Trage deine Lösung in die gelb hinterlegte Zelle ein.</t>
        </is>
      </c>
    </row>
    <row r="9" ht="28" customHeight="1">
      <c r="B9" s="2" t="inlineStr">
        <is>
          <t>3.  Wo eine Kontrollspalte steht, prüft sie deine Eingabe automatisch.</t>
        </is>
      </c>
    </row>
    <row r="10" ht="42" customHeight="1">
      <c r="B10" s="2" t="inlineStr">
        <is>
          <t>4.  Aufgaben zu Formatierung, Ansicht oder Schutz kann Excel nicht selbst prüfen - dort siehst du das Ergebnis direkt am Bildschirm bzw. vergleichst mit dem Zielbild.</t>
        </is>
      </c>
    </row>
    <row r="11" ht="28" customHeight="1">
      <c r="B11" s="2" t="inlineStr">
        <is>
          <t>5.  Kommst du nicht weiter: das Arbeitsblatt "Lösungen" ganz rechts zeigt den Weg.</t>
        </is>
      </c>
    </row>
    <row r="13">
      <c r="B13" s="3" t="inlineStr">
        <is>
          <t>Legende</t>
        </is>
      </c>
    </row>
    <row r="14">
      <c r="B14" s="4" t="inlineStr"/>
      <c r="C14" s="5" t="inlineStr">
        <is>
          <t>Hier bist du dran - Wert, Formel oder Formatierung eintragen</t>
        </is>
      </c>
    </row>
    <row r="15">
      <c r="B15" s="6" t="inlineStr"/>
      <c r="C15" s="5" t="inlineStr">
        <is>
          <t>Vorgegebene Daten - nicht verändern</t>
        </is>
      </c>
    </row>
    <row r="16">
      <c r="B16" s="7" t="inlineStr"/>
      <c r="C16" s="5" t="inlineStr">
        <is>
          <t>Startpunkt / Quelle einer Aktion</t>
        </is>
      </c>
    </row>
    <row r="17">
      <c r="B17" s="8" t="inlineStr"/>
      <c r="C17" s="5" t="inlineStr">
        <is>
          <t>Zielbereich einer Aktion</t>
        </is>
      </c>
    </row>
    <row r="18">
      <c r="B18" s="9" t="inlineStr"/>
      <c r="C18" s="5" t="inlineStr">
        <is>
          <t>Markierung für Struktur-Übungen (Zeilen, Spalten, Blätter)</t>
        </is>
      </c>
    </row>
    <row r="19">
      <c r="B19" s="10" t="inlineStr"/>
      <c r="C19" s="5" t="inlineStr">
        <is>
          <t>Dieser Bereich soll gelöscht oder korrigiert werden</t>
        </is>
      </c>
    </row>
    <row r="21">
      <c r="B21" s="3" t="inlineStr">
        <is>
          <t>Inhalt der Übung</t>
        </is>
      </c>
    </row>
    <row r="22">
      <c r="B22" s="11" t="inlineStr">
        <is>
          <t>Arbeitsblatt</t>
        </is>
      </c>
      <c r="C22" s="11" t="inlineStr">
        <is>
          <t>Inhalt</t>
        </is>
      </c>
    </row>
    <row r="23">
      <c r="B23" s="12" t="inlineStr">
        <is>
          <t>1 Blätter</t>
        </is>
      </c>
      <c r="C23" s="13" t="inlineStr">
        <is>
          <t>Arbeitsblätter kopieren, umbenennen, einfärben, aus- und einblenden</t>
        </is>
      </c>
    </row>
    <row r="24">
      <c r="B24" s="12" t="inlineStr">
        <is>
          <t>2 Einfügen</t>
        </is>
      </c>
      <c r="C24" s="13" t="inlineStr">
        <is>
          <t>Einfügeoptionen: Werte, Transponieren, Verknüpfung, Formatierung</t>
        </is>
      </c>
    </row>
    <row r="25">
      <c r="B25" s="12" t="inlineStr">
        <is>
          <t>3 Verknüpfen</t>
        </is>
      </c>
      <c r="C25" s="13" t="inlineStr">
        <is>
          <t>Bezüge über Arbeitsblätter und über Arbeitsmappen hinweg</t>
        </is>
      </c>
    </row>
    <row r="26">
      <c r="B26" s="12" t="inlineStr">
        <is>
          <t>4 Formatierung</t>
        </is>
      </c>
      <c r="C26" s="13" t="inlineStr">
        <is>
          <t>Schrift, Rahmen, Hintergrund, Hoch-/Tiefstellen, Format übertragen</t>
        </is>
      </c>
    </row>
    <row r="27">
      <c r="B27" s="12" t="inlineStr">
        <is>
          <t>5 Ausrichtung</t>
        </is>
      </c>
      <c r="C27" s="13" t="inlineStr">
        <is>
          <t>Textumbruch, Rotation, Einzug, Verbinden vs. Über Auswahl zentrieren</t>
        </is>
      </c>
    </row>
    <row r="28">
      <c r="B28" s="12" t="inlineStr">
        <is>
          <t>6 Suchen+Ersetzen</t>
        </is>
      </c>
      <c r="C28" s="13" t="inlineStr">
        <is>
          <t>Suchen und Ersetzen, Inhalte auswählen, Sortieren und Filtern</t>
        </is>
      </c>
    </row>
    <row r="29">
      <c r="B29" s="12" t="inlineStr">
        <is>
          <t>7 Wildcards</t>
        </is>
      </c>
      <c r="C29" s="13" t="inlineStr">
        <is>
          <t>Platzhalter ?, * und ~ in Suche, Filter und Formeln</t>
        </is>
      </c>
    </row>
    <row r="30">
      <c r="B30" s="12" t="inlineStr">
        <is>
          <t>8 Ausfüllen+Fixieren</t>
        </is>
      </c>
      <c r="C30" s="13" t="inlineStr">
        <is>
          <t>Ausfüllkästchen, Reihen fortsetzen, Fenster fixieren</t>
        </is>
      </c>
    </row>
    <row r="31">
      <c r="B31" s="12" t="inlineStr">
        <is>
          <t>9 Zahlenformate</t>
        </is>
      </c>
      <c r="C31" s="13" t="inlineStr">
        <is>
          <t>Standardformate, benutzerdefinierte Formate, Einheiten, Datum und Uhrzeit</t>
        </is>
      </c>
    </row>
    <row r="32">
      <c r="B32" s="12" t="inlineStr">
        <is>
          <t>10 Quelldaten</t>
        </is>
      </c>
      <c r="C32" s="13" t="inlineStr">
        <is>
          <t>Rohdaten für den Praxisfall - unformatiert und fehlerhaft</t>
        </is>
      </c>
    </row>
    <row r="33">
      <c r="B33" s="12" t="inlineStr">
        <is>
          <t>11 Zielbild</t>
        </is>
      </c>
      <c r="C33" s="13" t="inlineStr">
        <is>
          <t>So soll das Ergebnis des Praxisfalls aussehen</t>
        </is>
      </c>
    </row>
    <row r="35" ht="28" customHeight="1">
      <c r="B35" s="14" t="inlineStr">
        <is>
          <t>Für Aufgabe 3 auf dem Blatt "3 Verknüpfen" brauchst du zusätzlich die Datei 02_DataCleanUp_Extern.xlsx - sie liegt im selben Ordner.</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B1:D15"/>
  <sheetViews>
    <sheetView showGridLines="1" workbookViewId="0">
      <selection activeCell="A1" sqref="A1"/>
    </sheetView>
  </sheetViews>
  <sheetFormatPr baseColWidth="8" defaultRowHeight="15"/>
  <cols>
    <col width="2" customWidth="1" min="1" max="1"/>
    <col width="46" customWidth="1" min="2" max="2"/>
    <col width="22" customWidth="1" min="3" max="3"/>
    <col width="40" customWidth="1" min="4" max="4"/>
  </cols>
  <sheetData>
    <row r="1" ht="22" customHeight="1">
      <c r="B1" s="1" t="inlineStr">
        <is>
          <t>1  Arbeiten mit Arbeitsblättern</t>
        </is>
      </c>
    </row>
    <row r="2">
      <c r="B2" s="15" t="inlineStr">
        <is>
          <t>Kapitel: Arbeiten mit Arbeitsblättern</t>
        </is>
      </c>
    </row>
    <row r="4" ht="15" customHeight="1">
      <c r="B4" s="16" t="inlineStr">
        <is>
          <t>Aufgabe 1:  Füge ein neues Arbeitsblatt ein und benenne es auf Notizen um.</t>
        </is>
      </c>
    </row>
    <row r="5" ht="28" customHeight="1">
      <c r="B5" s="14" t="inlineStr">
        <is>
          <t>Tipp: Klick auf das +-Symbol rechts neben den Registern, dann Doppelklick auf den Namen.</t>
        </is>
      </c>
    </row>
    <row r="6" ht="30" customHeight="1">
      <c r="B6" s="16" t="inlineStr">
        <is>
          <t>Aufgabe 2:  Gib dem neuen Blatt die Registerfarbe Rot und ziehe es per Drag-and-Drop ganz ans Ende der Arbeitsmappe.</t>
        </is>
      </c>
    </row>
    <row r="7" ht="14" customHeight="1">
      <c r="B7" s="14" t="inlineStr">
        <is>
          <t>Tipp: Rechtsklick auf das Register - Registerfarbe.</t>
        </is>
      </c>
    </row>
    <row r="8" ht="30" customHeight="1">
      <c r="B8" s="16" t="inlineStr">
        <is>
          <t>Aufgabe 3:  Erstelle eine Kopie dieses Blattes ("1 Blätter") und benenne die Kopie auf Blaetter_Kopie um. Lösche sie anschließend wieder.</t>
        </is>
      </c>
    </row>
    <row r="9" ht="28" customHeight="1">
      <c r="B9" s="14" t="inlineStr">
        <is>
          <t>Tipp: Register mit gedrückter STRG-Taste ziehen kopiert das Blatt - oder Rechtsklick - Verschieben oder Kopieren - Häkchen bei Kopie erstellen.</t>
        </is>
      </c>
    </row>
    <row r="10" ht="30" customHeight="1">
      <c r="B10" s="16" t="inlineStr">
        <is>
          <t>Aufgabe 4:  In dieser Arbeitsmappe ist ein Arbeitsblatt ausgeblendet. Blende es ein und trage das Codewort, das dort steht, unten ein.</t>
        </is>
      </c>
    </row>
    <row r="11" ht="28" customHeight="1">
      <c r="B11" s="14" t="inlineStr">
        <is>
          <t>Tipp: Rechtsklick auf ein beliebiges Register - Einblenden. Danach darfst du das Blatt wieder ausblenden.</t>
        </is>
      </c>
    </row>
    <row r="12">
      <c r="B12" s="17" t="inlineStr">
        <is>
          <t>Codewort aus dem versteckten Blatt</t>
        </is>
      </c>
      <c r="C12" s="4" t="n"/>
      <c r="D12" s="18">
        <f>IF(C12="","Kontrolle",IF(EXACT(UPPER(C12),"REGISTERFARBE"),"OK - richtig","noch nicht richtig"))</f>
        <v/>
      </c>
    </row>
    <row r="14" ht="30" customHeight="1">
      <c r="B14" s="16" t="inlineStr">
        <is>
          <t>Aufgabe 5:  Ordne die Blätter so an, dass "3 Verknüpfen" direkt hinter "1 Blätter" liegt - und stelle die ursprüngliche Reihenfolge danach wieder her.</t>
        </is>
      </c>
    </row>
    <row r="15" ht="14" customHeight="1">
      <c r="B15" s="14" t="inlineStr">
        <is>
          <t>Tipp: Blattregister einfach mit der Maus an die gewünschte Position ziehen.</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B1:J33"/>
  <sheetViews>
    <sheetView showGridLines="1" workbookViewId="0">
      <selection activeCell="A1" sqref="A1"/>
    </sheetView>
  </sheetViews>
  <sheetFormatPr baseColWidth="8" defaultRowHeight="15"/>
  <cols>
    <col width="2" customWidth="1" min="1" max="1"/>
    <col width="46" customWidth="1" min="2" max="2"/>
    <col width="14" customWidth="1" min="3" max="3"/>
    <col width="14" customWidth="1" min="4" max="4"/>
    <col width="14" customWidth="1" min="5" max="5"/>
    <col width="14" customWidth="1" min="6" max="6"/>
    <col width="14" customWidth="1" min="7" max="7"/>
    <col width="14" customWidth="1" min="8" max="8"/>
    <col width="40" customWidth="1" min="10" max="10"/>
  </cols>
  <sheetData>
    <row r="1" ht="22" customHeight="1">
      <c r="B1" s="1" t="inlineStr">
        <is>
          <t>2  Einfügeoptionen</t>
        </is>
      </c>
    </row>
    <row r="2">
      <c r="B2" s="15" t="inlineStr">
        <is>
          <t>Kapitel: Zusammenfassen von Daten - Daten kopieren</t>
        </is>
      </c>
    </row>
    <row r="4" ht="28" customHeight="1">
      <c r="B4" s="14" t="inlineStr">
        <is>
          <t>Der graue Block ist die Quelle. Die Spalte "Brutto" enthält eine Formel - daran erkennst du gleich, welche Einfügeoption was macht.</t>
        </is>
      </c>
    </row>
    <row r="6">
      <c r="D6" s="11" t="inlineStr">
        <is>
          <t>Monat</t>
        </is>
      </c>
      <c r="E6" s="11" t="inlineStr">
        <is>
          <t>Netto</t>
        </is>
      </c>
      <c r="F6" s="11" t="inlineStr">
        <is>
          <t>Brutto</t>
        </is>
      </c>
    </row>
    <row r="7">
      <c r="D7" s="19" t="inlineStr">
        <is>
          <t>Jänner</t>
        </is>
      </c>
      <c r="E7" s="20" t="n">
        <v>18400</v>
      </c>
      <c r="F7" s="21">
        <f>E7*1.2</f>
        <v/>
      </c>
    </row>
    <row r="8">
      <c r="D8" s="19" t="inlineStr">
        <is>
          <t>Februar</t>
        </is>
      </c>
      <c r="E8" s="20" t="n">
        <v>21750</v>
      </c>
      <c r="F8" s="21">
        <f>E8*1.2</f>
        <v/>
      </c>
    </row>
    <row r="9">
      <c r="D9" s="19" t="inlineStr">
        <is>
          <t>März</t>
        </is>
      </c>
      <c r="E9" s="20" t="n">
        <v>19980</v>
      </c>
      <c r="F9" s="21">
        <f>E9*1.2</f>
        <v/>
      </c>
    </row>
    <row r="11" ht="30" customHeight="1">
      <c r="B11" s="16" t="inlineStr">
        <is>
          <t>Aufgabe 1:  Kopiere den grauen Block und füge ihn als reine WERTE ein. In der Spalte Brutto darf danach keine Formel mehr stehen.</t>
        </is>
      </c>
    </row>
    <row r="12" ht="28" customHeight="1">
      <c r="B12" s="14" t="inlineStr">
        <is>
          <t>Tipp: Kopieren - Rechtsklick auf die Zielzelle - Einfügeoptionen - Werte (das Symbol 123).</t>
        </is>
      </c>
    </row>
    <row r="13">
      <c r="D13" s="4" t="n"/>
      <c r="E13" s="4" t="n"/>
      <c r="F13" s="4" t="n"/>
      <c r="J13" s="18">
        <f>IF(COUNTBLANK(D13:F15)&gt;0,"Kontrolle",IF(AND(NOT(_xlfn.ISFORMULA(F13)),NOT(_xlfn.ISFORMULA(F14)),NOT(_xlfn.ISFORMULA(F15)),ABS(F13-22080.0)&lt;0.005,ABS(F14-26100.0)&lt;0.005,ABS(F15-23976.0)&lt;0.005,EXACT(D13,"Jänner"),EXACT(D14,"Februar"),EXACT(D15,"März")),"OK - richtig","noch nicht richtig"))</f>
        <v/>
      </c>
    </row>
    <row r="14">
      <c r="D14" s="4" t="n"/>
      <c r="E14" s="4" t="n"/>
      <c r="F14" s="4" t="n"/>
    </row>
    <row r="15">
      <c r="D15" s="4" t="n"/>
      <c r="E15" s="4" t="n"/>
      <c r="F15" s="4" t="n"/>
    </row>
    <row r="17" ht="30" customHeight="1">
      <c r="B17" s="16" t="inlineStr">
        <is>
          <t>Aufgabe 2:  Kopiere den grauen Block erneut und füge ihn TRANSPONIERT ein - aus Zeilen werden Spalten.</t>
        </is>
      </c>
    </row>
    <row r="18" ht="14" customHeight="1">
      <c r="B18" s="14" t="inlineStr">
        <is>
          <t>Tipp: Kopieren - Rechtsklick - Einfügeoptionen - Transponieren.</t>
        </is>
      </c>
    </row>
    <row r="19">
      <c r="D19" s="4" t="n"/>
      <c r="E19" s="4" t="n"/>
      <c r="F19" s="4" t="n"/>
      <c r="G19" s="4" t="n"/>
      <c r="J19" s="18">
        <f>IF(COUNTBLANK(D19:G21)&gt;0,"Kontrolle",IF(AND(EXACT(D19,"Monat"),EXACT(E19,"Jänner"),EXACT(F19,"Februar"),EXACT(G19,"März"),ABS(E20-18400)&lt;0.5,ABS(F20-21750)&lt;0.5,ABS(G20-19980)&lt;0.5),"OK - richtig","noch nicht richtig"))</f>
        <v/>
      </c>
    </row>
    <row r="20">
      <c r="D20" s="4" t="n"/>
      <c r="E20" s="4" t="n"/>
      <c r="F20" s="4" t="n"/>
      <c r="G20" s="4" t="n"/>
    </row>
    <row r="21">
      <c r="D21" s="4" t="n"/>
      <c r="E21" s="4" t="n"/>
      <c r="F21" s="4" t="n"/>
      <c r="G21" s="4" t="n"/>
    </row>
    <row r="23" ht="45" customHeight="1">
      <c r="B23" s="16" t="inlineStr">
        <is>
          <t>Aufgabe 3:  Füge den grauen Block ein drittes Mal ein - diesmal als VERKNÜPFUNG. Ändere danach den Netto-Wert von Februar in der Quelle auf 25000 und beobachte, was in der Verknüpfung passiert.</t>
        </is>
      </c>
    </row>
    <row r="24" ht="42" customHeight="1">
      <c r="B24" s="14" t="inlineStr">
        <is>
          <t>Tipp: Kopieren - Rechtsklick - Inhalte einfügen - Verknüpfung einfügen. Es entstehen Zellbezüge, keine festen Werte. Setze den Wert danach wieder auf 21750 zurück.</t>
        </is>
      </c>
    </row>
    <row r="25">
      <c r="D25" s="4" t="n"/>
      <c r="E25" s="4" t="n"/>
      <c r="F25" s="4" t="n"/>
      <c r="J25" s="18">
        <f>IF(COUNTBLANK(D25:F27)&gt;0,"Kontrolle",IF(AND(_xlfn.ISFORMULA(D25),_xlfn.ISFORMULA(E25),_xlfn.ISFORMULA(F25),_xlfn.ISFORMULA(D26),_xlfn.ISFORMULA(E26),_xlfn.ISFORMULA(F26),_xlfn.ISFORMULA(D27),_xlfn.ISFORMULA(E27),_xlfn.ISFORMULA(F27)),"OK - richtig","noch nicht richtig"))</f>
        <v/>
      </c>
    </row>
    <row r="26">
      <c r="D26" s="4" t="n"/>
      <c r="E26" s="4" t="n"/>
      <c r="F26" s="4" t="n"/>
    </row>
    <row r="27">
      <c r="D27" s="4" t="n"/>
      <c r="E27" s="4" t="n"/>
      <c r="F27" s="4" t="n"/>
    </row>
    <row r="29" ht="30" customHeight="1">
      <c r="B29" s="16" t="inlineStr">
        <is>
          <t>Aufgabe 4:  Kopiere zum Schluss nur die FORMATIERUNG des grauen Blocks auf den orangen Bereich - die Werte dort müssen erhalten bleiben.</t>
        </is>
      </c>
    </row>
    <row r="30" ht="28" customHeight="1">
      <c r="B30" s="14" t="inlineStr">
        <is>
          <t>Tipp: Kopieren - Rechtsklick - Einfügeoptionen - Formatierung. Alternativ: Format übertragen. Diese Aufgabe wird nicht automatisch geprüft.</t>
        </is>
      </c>
    </row>
    <row r="31">
      <c r="D31" s="22" t="inlineStr">
        <is>
          <t>Jänner</t>
        </is>
      </c>
      <c r="E31" s="22" t="n">
        <v>18400</v>
      </c>
    </row>
    <row r="32">
      <c r="D32" s="22" t="inlineStr">
        <is>
          <t>Februar</t>
        </is>
      </c>
      <c r="E32" s="22" t="n">
        <v>21750</v>
      </c>
    </row>
    <row r="33">
      <c r="D33" s="22" t="inlineStr">
        <is>
          <t>März</t>
        </is>
      </c>
      <c r="E33" s="22" t="n">
        <v>19980</v>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B1:D21"/>
  <sheetViews>
    <sheetView showGridLines="1" workbookViewId="0">
      <selection activeCell="A1" sqref="A1"/>
    </sheetView>
  </sheetViews>
  <sheetFormatPr baseColWidth="8" defaultRowHeight="15"/>
  <cols>
    <col width="2" customWidth="1" min="1" max="1"/>
    <col width="46" customWidth="1" min="2" max="2"/>
    <col width="20" customWidth="1" min="3" max="3"/>
    <col width="46" customWidth="1" min="4" max="4"/>
  </cols>
  <sheetData>
    <row r="1" ht="22" customHeight="1">
      <c r="B1" s="1" t="inlineStr">
        <is>
          <t>3  Daten verknüpfen</t>
        </is>
      </c>
    </row>
    <row r="2">
      <c r="B2" s="15" t="inlineStr">
        <is>
          <t>Kapitel: Zusammenfassen von Daten - Daten verknüpfen</t>
        </is>
      </c>
    </row>
    <row r="4" ht="42" customHeight="1">
      <c r="B4" s="14" t="inlineStr">
        <is>
          <t>Aufbau eines Bezugs:   =[Mappenname]Blattname!$Zelle       Enthält ein Name ein Leerzeichen, kommt alles zwischen Hochkommas:   ='[Daten 1.xlsx]Mitarbeiter 1'!$D$12</t>
        </is>
      </c>
    </row>
    <row r="6" ht="30" customHeight="1">
      <c r="B6" s="16" t="inlineStr">
        <is>
          <t>Aufgabe 1:  Hole den Netto-Umsatz von März aus dem Blatt "2 Einfügen" mit einem Bezug über Arbeitsblätter hinweg.</t>
        </is>
      </c>
    </row>
    <row r="7" ht="28" customHeight="1">
      <c r="B7" s="14" t="inlineStr">
        <is>
          <t>Tipp: Gleichheitszeichen tippen, dann auf das andere Blatt wechseln und die Zelle anklicken.</t>
        </is>
      </c>
    </row>
    <row r="8">
      <c r="B8" s="17" t="inlineStr">
        <is>
          <t>Netto März (aus Blatt "2 Einfügen")</t>
        </is>
      </c>
      <c r="C8" s="23" t="n"/>
      <c r="D8" s="18">
        <f>IF(C8="","Kontrolle",IF(AND(_xlfn.ISFORMULA(C8),ABS(C8-19980)&lt;0.5),"OK - richtig",IF(ABS(C8-19980)&lt;0.5,"Ergebnis stimmt - bitte als Formel eingeben!","noch nicht richtig")))</f>
        <v/>
      </c>
    </row>
    <row r="10" ht="30" customHeight="1">
      <c r="B10" s="16" t="inlineStr">
        <is>
          <t>Aufgabe 2:  Berechne mit einem Blatt-übergreifenden Bezug die Summe aller drei Netto-Umsätze vom Blatt "2 Einfügen".</t>
        </is>
      </c>
    </row>
    <row r="11">
      <c r="B11" s="17" t="inlineStr">
        <is>
          <t>Summe Netto (aus Blatt "2 Einfügen")</t>
        </is>
      </c>
      <c r="C11" s="23" t="n"/>
      <c r="D11" s="18">
        <f>IF(C11="","Kontrolle",IF(AND(_xlfn.ISFORMULA(C11),ABS(C11-60130)&lt;0.5),"OK - richtig",IF(ABS(C11-60130)&lt;0.5,"Ergebnis stimmt - bitte als Formel eingeben!","noch nicht richtig")))</f>
        <v/>
      </c>
    </row>
    <row r="13" ht="45" customHeight="1">
      <c r="B13" s="16" t="inlineStr">
        <is>
          <t>Aufgabe 3:  Öffne die Datei 02_DataCleanUp_Extern.xlsx aus demselben Ordner. Hole von dort den Wert der Zelle B4 des Blattes "Kennzahlen" per Verknüpfung in die gelbe Zelle.</t>
        </is>
      </c>
    </row>
    <row r="14" ht="42" customHeight="1">
      <c r="B14" s="14" t="inlineStr">
        <is>
          <t>Tipp: Beide Dateien öffnen, in der Zielzelle = tippen, dann in die andere Datei wechseln und die Zelle anklicken. Excel schreibt den Mappennamen automatisch dazu.</t>
        </is>
      </c>
    </row>
    <row r="15">
      <c r="B15" s="17" t="inlineStr">
        <is>
          <t>Wert aus der externen Datei</t>
        </is>
      </c>
      <c r="C15" s="23" t="n"/>
      <c r="D15" s="18">
        <f>IF(C15="","Kontrolle",IF(AND(_xlfn.ISFORMULA(C15),ABS(C15-4711)&lt;0.5),"OK - richtig",IF(ABS(C15-4711)&lt;0.5,"Ergebnis stimmt - bitte als Formel eingeben!","noch nicht richtig")))</f>
        <v/>
      </c>
    </row>
    <row r="17" ht="30" customHeight="1">
      <c r="B17" s="16" t="inlineStr">
        <is>
          <t>Aufgabe 4:  Schließe die externe Datei und sieh dir die Formel jetzt noch einmal an: Excel ergänzt automatisch den vollständigen Dateipfad.</t>
        </is>
      </c>
    </row>
    <row r="18" ht="42" customHeight="1">
      <c r="B18" s="14" t="inlineStr">
        <is>
          <t>Tipp: Unter Daten - Abfragen und Verbindungen - Verknüpfungen bearbeiten siehst du alle Verknüpfungen der Mappe und kannst sie aktualisieren oder auflösen.</t>
        </is>
      </c>
    </row>
    <row r="20" ht="30" customHeight="1">
      <c r="B20" s="16" t="inlineStr">
        <is>
          <t>Aufgabe 5:  Löse die Verknüpfung aus Aufgabe 3 auf, sodass nur noch der Wert stehen bleibt.</t>
        </is>
      </c>
    </row>
    <row r="21" ht="42" customHeight="1">
      <c r="B21" s="14" t="inlineStr">
        <is>
          <t>Tipp: Daten - Verknüpfungen bearbeiten - Verknüpfung löschen. Danach steht in der Zelle kein Bezug mehr, sondern der reine Wert - die Kontrolle meldet dann "bitte als Formel eingeben", das ist hier in Ordnung.</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B1:E20"/>
  <sheetViews>
    <sheetView showGridLines="1" workbookViewId="0">
      <selection activeCell="A1" sqref="A1"/>
    </sheetView>
  </sheetViews>
  <sheetFormatPr baseColWidth="8" defaultRowHeight="15"/>
  <cols>
    <col width="2" customWidth="1" min="1" max="1"/>
    <col width="46" customWidth="1" min="2" max="2"/>
    <col width="26" customWidth="1" min="3" max="3"/>
    <col width="26" customWidth="1" min="4" max="4"/>
    <col width="44" customWidth="1" min="5" max="5"/>
  </cols>
  <sheetData>
    <row r="1" ht="22" customHeight="1">
      <c r="B1" s="1" t="inlineStr">
        <is>
          <t>4  Zellen formatieren</t>
        </is>
      </c>
    </row>
    <row r="2">
      <c r="B2" s="15" t="inlineStr">
        <is>
          <t>Kapitel: Einfache Formatierungen - Zellen-Formatierung</t>
        </is>
      </c>
    </row>
    <row r="4" ht="28" customHeight="1">
      <c r="B4" s="14" t="inlineStr">
        <is>
          <t>Diese Aufgaben prüft Excel nicht automatisch - vergleiche dein Ergebnis jeweils mit der grauen Musterzelle daneben.</t>
        </is>
      </c>
    </row>
    <row r="6">
      <c r="B6" s="11" t="inlineStr">
        <is>
          <t>Formatierungsaufgabe</t>
        </is>
      </c>
      <c r="C6" s="11" t="inlineStr">
        <is>
          <t>deine Zelle</t>
        </is>
      </c>
      <c r="D6" s="11" t="inlineStr">
        <is>
          <t>Muster</t>
        </is>
      </c>
      <c r="E6" s="11" t="inlineStr">
        <is>
          <t>Hinweis</t>
        </is>
      </c>
    </row>
    <row r="7">
      <c r="B7" s="17" t="inlineStr">
        <is>
          <t>Schriftart Arial, Größe 14, fett</t>
        </is>
      </c>
      <c r="C7" s="4" t="inlineStr">
        <is>
          <t>Muster</t>
        </is>
      </c>
      <c r="D7" s="19" t="inlineStr">
        <is>
          <t>Muster</t>
        </is>
      </c>
      <c r="E7" s="15" t="inlineStr">
        <is>
          <t>Start - Schriftart</t>
        </is>
      </c>
    </row>
    <row r="8">
      <c r="B8" s="17" t="inlineStr">
        <is>
          <t>Schriftfarbe dunkelrot</t>
        </is>
      </c>
      <c r="C8" s="4" t="inlineStr">
        <is>
          <t>Muster</t>
        </is>
      </c>
      <c r="D8" s="19" t="inlineStr">
        <is>
          <t>Muster</t>
        </is>
      </c>
      <c r="E8" s="15" t="inlineStr">
        <is>
          <t>Start - Schriftfarbe</t>
        </is>
      </c>
    </row>
    <row r="9">
      <c r="B9" s="17" t="inlineStr">
        <is>
          <t>Hintergrund hellgelb</t>
        </is>
      </c>
      <c r="C9" s="4" t="inlineStr">
        <is>
          <t>Muster</t>
        </is>
      </c>
      <c r="D9" s="19" t="inlineStr">
        <is>
          <t>Muster</t>
        </is>
      </c>
      <c r="E9" s="15" t="inlineStr">
        <is>
          <t>Start - Füllfarbe</t>
        </is>
      </c>
    </row>
    <row r="10">
      <c r="B10" s="17" t="inlineStr">
        <is>
          <t>Rahmen: alle Rahmenlinien, außen dick</t>
        </is>
      </c>
      <c r="C10" s="4" t="inlineStr">
        <is>
          <t>Muster</t>
        </is>
      </c>
      <c r="D10" s="19" t="inlineStr">
        <is>
          <t>Muster</t>
        </is>
      </c>
      <c r="E10" s="15" t="inlineStr">
        <is>
          <t>Start - Rahmen - Alle Rahmenlinien, danach Äußerer Rahmen dick</t>
        </is>
      </c>
    </row>
    <row r="11">
      <c r="B11" s="17" t="inlineStr">
        <is>
          <t>Nur das Wort dick fett formatieren</t>
        </is>
      </c>
      <c r="C11" s="4" t="inlineStr">
        <is>
          <t>normal dick normal</t>
        </is>
      </c>
      <c r="D11" s="19" t="inlineStr">
        <is>
          <t>normal dick normal</t>
        </is>
      </c>
      <c r="E11" s="15" t="inlineStr">
        <is>
          <t>Zelle mit F2 öffnen, nur das Wort markieren, dann formatieren</t>
        </is>
      </c>
    </row>
    <row r="12">
      <c r="B12" s="17" t="inlineStr">
        <is>
          <t>m² - die 2 hochstellen</t>
        </is>
      </c>
      <c r="C12" s="4" t="inlineStr">
        <is>
          <t>m2</t>
        </is>
      </c>
      <c r="D12" s="19" t="inlineStr">
        <is>
          <t>m2</t>
        </is>
      </c>
      <c r="E12" s="15" t="inlineStr">
        <is>
          <t>Zelle öffnen, die 2 markieren, Rechtsklick - Zellen formatieren - Hochgestellt</t>
        </is>
      </c>
    </row>
    <row r="13">
      <c r="B13" s="17" t="inlineStr">
        <is>
          <t>H₂O - die 2 tiefstellen</t>
        </is>
      </c>
      <c r="C13" s="4" t="inlineStr">
        <is>
          <t>H2O</t>
        </is>
      </c>
      <c r="D13" s="19" t="inlineStr">
        <is>
          <t>H2O</t>
        </is>
      </c>
      <c r="E13" s="15" t="inlineStr">
        <is>
          <t>wie oben, aber Tiefgestellt</t>
        </is>
      </c>
    </row>
    <row r="15" ht="30" customHeight="1">
      <c r="B15" s="16" t="inlineStr">
        <is>
          <t>Aufgabe 8:  Formatiere die erste gelbe Zelle nach deinem Geschmack und übertrage die Formatierung mit Format übertragen auf die anderen beiden.</t>
        </is>
      </c>
    </row>
    <row r="16" ht="28" customHeight="1">
      <c r="B16" s="14" t="inlineStr">
        <is>
          <t>Tipp: Start - Zwischenablage - Format übertragen. Doppelklick auf den Pinsel hält ihn aktiv, bis du ESC drückst.</t>
        </is>
      </c>
    </row>
    <row r="17">
      <c r="C17" s="4" t="n"/>
      <c r="D17" s="4" t="n"/>
      <c r="E17" s="4" t="n"/>
    </row>
    <row r="19" ht="15" customHeight="1">
      <c r="B19" s="16" t="inlineStr">
        <is>
          <t>Aufgabe 9:  Blende die Gitternetzlinien dieses Arbeitsblattes aus und wieder ein.</t>
        </is>
      </c>
    </row>
    <row r="20" ht="28" customHeight="1">
      <c r="B20" s="14" t="inlineStr">
        <is>
          <t>Tipp: Ansicht - Anzeigen - Gitternetzlinien. Beim Ausdruck erscheinen sie ohnehin nie - dafür brauchst du echte Rahmen.</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B1:H26"/>
  <sheetViews>
    <sheetView showGridLines="1" workbookViewId="0">
      <selection activeCell="A1" sqref="A1"/>
    </sheetView>
  </sheetViews>
  <sheetFormatPr baseColWidth="8" defaultRowHeight="15"/>
  <cols>
    <col width="2" customWidth="1" min="1" max="1"/>
    <col width="46" customWidth="1" min="2" max="2"/>
    <col width="16" customWidth="1" min="3" max="3"/>
    <col width="16" customWidth="1" min="4" max="4"/>
    <col width="16" customWidth="1" min="5" max="5"/>
    <col width="16" customWidth="1" min="6" max="6"/>
    <col width="46" customWidth="1" min="8" max="8"/>
  </cols>
  <sheetData>
    <row r="1" ht="22" customHeight="1">
      <c r="B1" s="1" t="inlineStr">
        <is>
          <t>5  Inhalte ausrichten</t>
        </is>
      </c>
    </row>
    <row r="2">
      <c r="B2" s="15" t="inlineStr">
        <is>
          <t>Kapitel: Einfache Formatierungen - Zellen-Ausrichtung</t>
        </is>
      </c>
    </row>
    <row r="4" ht="30" customHeight="1">
      <c r="B4" s="16" t="inlineStr">
        <is>
          <t>Aufgabe 1:  Sorge dafür, dass der lange Text vollständig in der Zelle sichtbar ist, ohne die Spalte zu verbreitern.</t>
        </is>
      </c>
    </row>
    <row r="5" ht="28" customHeight="1">
      <c r="B5" s="14" t="inlineStr">
        <is>
          <t>Tipp: Start - Ausrichtung - Textumbruch. Die Zeilenhöhe passt sich automatisch an.</t>
        </is>
      </c>
    </row>
    <row r="6">
      <c r="C6" s="4" t="inlineStr">
        <is>
          <t>Dieser Satz ist deutlich länger als die Spalte breit ist.</t>
        </is>
      </c>
    </row>
    <row r="8" ht="30" customHeight="1">
      <c r="B8" s="16" t="inlineStr">
        <is>
          <t>Aufgabe 2:  Schreibe in die gelbe Zelle zwei Zeilen: Zeile1 und Zeile2 - als EIN Zellinhalt.</t>
        </is>
      </c>
    </row>
    <row r="9" ht="14" customHeight="1">
      <c r="B9" s="14" t="inlineStr">
        <is>
          <t>Tipp: Innerhalb der Zelle mit ALT + ENTER eine neue Zeile beginnen.</t>
        </is>
      </c>
    </row>
    <row r="10">
      <c r="C10" s="4" t="n"/>
      <c r="H10" s="18">
        <f>IF(C10="","Kontrolle",IF(EXACT(C10,"Zeile1"&amp;CHAR(10)&amp;"Zeile2"),"OK - richtig","noch nicht richtig"))</f>
        <v/>
      </c>
    </row>
    <row r="12" ht="15" customHeight="1">
      <c r="B12" s="16" t="inlineStr">
        <is>
          <t>Aufgabe 3:  Drehe die Beschriftung der drei gelben Zellen um 45 Grad nach oben.</t>
        </is>
      </c>
    </row>
    <row r="13" ht="28" customHeight="1">
      <c r="B13" s="14" t="inlineStr">
        <is>
          <t>Tipp: Start - Ausrichtung - Ausrichtung - Text nach oben drehen bzw. Zellen formatieren - Ausrichtung - Grad einstellen.</t>
        </is>
      </c>
    </row>
    <row r="14">
      <c r="C14" s="4" t="inlineStr">
        <is>
          <t>Nord</t>
        </is>
      </c>
      <c r="D14" s="4" t="inlineStr">
        <is>
          <t>Süd</t>
        </is>
      </c>
      <c r="E14" s="4" t="inlineStr">
        <is>
          <t>West</t>
        </is>
      </c>
    </row>
    <row r="16" ht="15" customHeight="1">
      <c r="B16" s="16" t="inlineStr">
        <is>
          <t>Aufgabe 4:  Rücke den Inhalt der gelben Zelle um zwei Stufen ein.</t>
        </is>
      </c>
    </row>
    <row r="17" ht="14" customHeight="1">
      <c r="B17" s="14" t="inlineStr">
        <is>
          <t>Tipp: Start - Ausrichtung - Einzug vergrößern.</t>
        </is>
      </c>
    </row>
    <row r="18">
      <c r="C18" s="4" t="inlineStr">
        <is>
          <t>eingerückt</t>
        </is>
      </c>
    </row>
    <row r="20" ht="30" customHeight="1">
      <c r="B20" s="16" t="inlineStr">
        <is>
          <t>Aufgabe 5:  Verbinde die drei gelben Zellen zu einer und zentriere den Titel darin.</t>
        </is>
      </c>
    </row>
    <row r="21" ht="14" customHeight="1">
      <c r="B21" s="14" t="inlineStr">
        <is>
          <t>Tipp: Start - Ausrichtung - Verbinden und zentrieren.</t>
        </is>
      </c>
    </row>
    <row r="22">
      <c r="C22" s="4" t="inlineStr">
        <is>
          <t>Quartalsbericht</t>
        </is>
      </c>
      <c r="D22" s="4" t="n"/>
      <c r="E22" s="4" t="n"/>
    </row>
    <row r="24" ht="15" customHeight="1">
      <c r="B24" s="16" t="inlineStr">
        <is>
          <t>Aufgabe 6:  Erreiche denselben optischen Effekt OHNE die Zellen zu verbinden.</t>
        </is>
      </c>
    </row>
    <row r="25" ht="42" customHeight="1">
      <c r="B25" s="14" t="inlineStr">
        <is>
          <t>Tipp: Zellen markieren - Rechtsklick - Zellen formatieren - Ausrichtung - Horizontal - Über Auswahl zentrieren. Vorteil: Sortieren, Filtern und Markieren funktionieren weiterhin normal.</t>
        </is>
      </c>
    </row>
    <row r="26">
      <c r="C26" s="4" t="inlineStr">
        <is>
          <t>Quartalsbericht</t>
        </is>
      </c>
      <c r="D26" s="4" t="n"/>
      <c r="E26" s="4" t="n"/>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B1:G23"/>
  <sheetViews>
    <sheetView showGridLines="1" workbookViewId="0">
      <selection activeCell="A1" sqref="A1"/>
    </sheetView>
  </sheetViews>
  <sheetFormatPr baseColWidth="8" defaultRowHeight="15"/>
  <cols>
    <col width="2" customWidth="1" min="1" max="1"/>
    <col width="46" customWidth="1" min="2" max="2"/>
    <col width="18" customWidth="1" min="3" max="3"/>
    <col width="14" customWidth="1" min="4" max="4"/>
    <col width="14" customWidth="1" min="5" max="5"/>
    <col width="46" customWidth="1" min="7" max="7"/>
  </cols>
  <sheetData>
    <row r="1" ht="22" customHeight="1">
      <c r="B1" s="1" t="inlineStr">
        <is>
          <t>6  Inhalte bearbeiten</t>
        </is>
      </c>
    </row>
    <row r="2">
      <c r="B2" s="15" t="inlineStr">
        <is>
          <t>Kapitel: Einfache Formatierungen - Inhalte bearbeiten</t>
        </is>
      </c>
    </row>
    <row r="4" ht="30" customHeight="1">
      <c r="B4" s="16" t="inlineStr">
        <is>
          <t>Aufgabe 1:  In der Spalte Standort ist die Stadt Linz durchgehend falsch geschrieben (Lintz). Korrigiere alle Vorkommen auf einmal.</t>
        </is>
      </c>
    </row>
    <row r="5" ht="14" customHeight="1">
      <c r="B5" s="14" t="inlineStr">
        <is>
          <t>Tipp: STRG + H öffnet Suchen und Ersetzen. Alle ersetzen.</t>
        </is>
      </c>
    </row>
    <row r="6">
      <c r="C6" s="11" t="inlineStr">
        <is>
          <t>Standort</t>
        </is>
      </c>
      <c r="D6" s="11" t="inlineStr">
        <is>
          <t>Region</t>
        </is>
      </c>
      <c r="E6" s="11" t="inlineStr">
        <is>
          <t>Umsatz</t>
        </is>
      </c>
    </row>
    <row r="7">
      <c r="C7" s="19" t="inlineStr">
        <is>
          <t>Lintz</t>
        </is>
      </c>
      <c r="D7" s="19" t="inlineStr">
        <is>
          <t>Nord</t>
        </is>
      </c>
      <c r="E7" s="20" t="n">
        <v>4200</v>
      </c>
      <c r="G7" s="24" t="inlineStr">
        <is>
          <t>Kontrolle Aufgabe 1</t>
        </is>
      </c>
    </row>
    <row r="8">
      <c r="C8" s="19" t="inlineStr">
        <is>
          <t>Wien</t>
        </is>
      </c>
      <c r="D8" s="19" t="inlineStr">
        <is>
          <t>Ost</t>
        </is>
      </c>
      <c r="E8" s="20" t="n">
        <v>8100</v>
      </c>
      <c r="G8" s="18">
        <f>IF(COUNTBLANK(C7:C14)&gt;0,"Kontrolle",IF(AND(COUNTIF(C7:C14,"Linz")=3,COUNTIF(C7:C14,"Lintz")=0),"OK - richtig","noch nicht richtig"))</f>
        <v/>
      </c>
    </row>
    <row r="9">
      <c r="C9" s="19" t="inlineStr">
        <is>
          <t>Lintz</t>
        </is>
      </c>
      <c r="D9" s="19" t="inlineStr">
        <is>
          <t>Nord</t>
        </is>
      </c>
      <c r="E9" s="20" t="n">
        <v>3350</v>
      </c>
    </row>
    <row r="10">
      <c r="C10" s="19" t="inlineStr">
        <is>
          <t>Graz</t>
        </is>
      </c>
      <c r="D10" s="19" t="inlineStr">
        <is>
          <t>Süd</t>
        </is>
      </c>
      <c r="E10" s="20" t="n">
        <v>5600</v>
      </c>
    </row>
    <row r="11">
      <c r="C11" s="19" t="inlineStr">
        <is>
          <t>Wien</t>
        </is>
      </c>
      <c r="D11" s="19" t="inlineStr">
        <is>
          <t>Ost</t>
        </is>
      </c>
      <c r="E11" s="20" t="n">
        <v>7250</v>
      </c>
    </row>
    <row r="12">
      <c r="C12" s="19" t="inlineStr">
        <is>
          <t>Lintz</t>
        </is>
      </c>
      <c r="D12" s="19" t="inlineStr">
        <is>
          <t>Nord</t>
        </is>
      </c>
      <c r="E12" s="20" t="n">
        <v>2900</v>
      </c>
    </row>
    <row r="13">
      <c r="C13" s="19" t="inlineStr">
        <is>
          <t>Graz</t>
        </is>
      </c>
      <c r="D13" s="19" t="inlineStr">
        <is>
          <t>Süd</t>
        </is>
      </c>
      <c r="E13" s="20" t="n">
        <v>4400</v>
      </c>
    </row>
    <row r="14">
      <c r="C14" s="19" t="inlineStr">
        <is>
          <t>Wien</t>
        </is>
      </c>
      <c r="D14" s="19" t="inlineStr">
        <is>
          <t>Ost</t>
        </is>
      </c>
      <c r="E14" s="20" t="n">
        <v>6100</v>
      </c>
    </row>
    <row r="16" ht="15" customHeight="1">
      <c r="B16" s="16" t="inlineStr">
        <is>
          <t>Aufgabe 2:  Färbe alle Zellen der Spalte Region mit dem Wert Nord auf einmal ein.</t>
        </is>
      </c>
    </row>
    <row r="17" ht="28" customHeight="1">
      <c r="B17" s="14" t="inlineStr">
        <is>
          <t>Tipp: STRG + F - Nord suchen - Alle suchen - in der Trefferliste STRG + A - Fenster schließen - Füllfarbe wählen.</t>
        </is>
      </c>
    </row>
    <row r="18" ht="30" customHeight="1">
      <c r="B18" s="16" t="inlineStr">
        <is>
          <t>Aufgabe 3:  Markiere mit Inhalte auswählen alle Zellen dieses Blattes, die eine Formel enthalten.</t>
        </is>
      </c>
    </row>
    <row r="19" ht="28" customHeight="1">
      <c r="B19" s="14" t="inlineStr">
        <is>
          <t>Tipp: Start - Bearbeiten - Suchen und Auswählen - Inhalte auswählen - Formeln.</t>
        </is>
      </c>
    </row>
    <row r="20" ht="30" customHeight="1">
      <c r="B20" s="16" t="inlineStr">
        <is>
          <t>Aufgabe 4:  Aktiviere den Filter für den Datenbereich oben und sortiere absteigend nach Umsatz. Filtere anschließend nur die Region Ost heraus.</t>
        </is>
      </c>
    </row>
    <row r="21" ht="28" customHeight="1">
      <c r="B21" s="14" t="inlineStr">
        <is>
          <t>Tipp: Bereich markieren - Start - Sortieren und Filtern - Filtern. Hebe den Filter danach wieder auf.</t>
        </is>
      </c>
    </row>
    <row r="23">
      <c r="B23" s="17" t="inlineStr">
        <is>
          <t>Höchster Umsatz, den du nach dem Sortieren oben siehst</t>
        </is>
      </c>
      <c r="C23" s="23" t="n"/>
      <c r="G23" s="18">
        <f>IF(C23="","Kontrolle",IF(C23=8100,"OK - richtig","noch nicht richtig"))</f>
        <v/>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B1:F26"/>
  <sheetViews>
    <sheetView showGridLines="1" workbookViewId="0">
      <selection activeCell="A1" sqref="A1"/>
    </sheetView>
  </sheetViews>
  <sheetFormatPr baseColWidth="8" defaultRowHeight="15"/>
  <cols>
    <col width="2" customWidth="1" min="1" max="1"/>
    <col width="46" customWidth="1" min="2" max="2"/>
    <col width="18" customWidth="1" min="3" max="3"/>
    <col width="16" customWidth="1" min="4" max="4"/>
    <col width="14" customWidth="1" min="5" max="5"/>
    <col width="44" customWidth="1" min="6" max="6"/>
  </cols>
  <sheetData>
    <row r="1" ht="22" customHeight="1">
      <c r="B1" s="1" t="inlineStr">
        <is>
          <t>7  Wildcards</t>
        </is>
      </c>
    </row>
    <row r="2">
      <c r="B2" s="15" t="inlineStr">
        <is>
          <t>Kapitel: Einfache Formatierungen - Inhalte bearbeiten</t>
        </is>
      </c>
    </row>
    <row r="4" ht="28" customHeight="1">
      <c r="B4" s="14" t="inlineStr">
        <is>
          <t>?  steht für genau ein Zeichen     *  steht für beliebig viele Zeichen     ~  hebt die Sonderbedeutung des nachfolgenden Zeichens auf</t>
        </is>
      </c>
    </row>
    <row r="6">
      <c r="B6" s="11" t="inlineStr">
        <is>
          <t>Einträge</t>
        </is>
      </c>
      <c r="C6" s="25" t="inlineStr">
        <is>
          <t>Aufgabe: Zähle mit ZÄHLENWENN und Wildcards</t>
        </is>
      </c>
    </row>
    <row r="7">
      <c r="B7" s="19" t="inlineStr">
        <is>
          <t>A</t>
        </is>
      </c>
      <c r="C7" s="15" t="inlineStr">
        <is>
          <t>Beispiel:  =ZÄHLENWENN($B$7:$B$26;"???")</t>
        </is>
      </c>
    </row>
    <row r="8">
      <c r="B8" s="19" t="inlineStr">
        <is>
          <t>BB</t>
        </is>
      </c>
    </row>
    <row r="9">
      <c r="B9" s="19" t="inlineStr">
        <is>
          <t>Jet</t>
        </is>
      </c>
      <c r="C9" s="11" t="inlineStr">
        <is>
          <t>Bedingung</t>
        </is>
      </c>
      <c r="D9" s="11" t="inlineStr">
        <is>
          <t>Anzahl</t>
        </is>
      </c>
      <c r="E9" s="11" t="inlineStr">
        <is>
          <t>Kontrolle</t>
        </is>
      </c>
    </row>
    <row r="10">
      <c r="B10" s="19" t="inlineStr">
        <is>
          <t>AAA</t>
        </is>
      </c>
      <c r="C10" s="17" t="inlineStr">
        <is>
          <t>genau ein Zeichen</t>
        </is>
      </c>
      <c r="D10" s="23" t="n"/>
      <c r="F10" s="18">
        <f>IF(D10="","Kontrolle",IF(AND(_xlfn.ISFORMULA(D10),D10=2),"OK - richtig",IF(D10=2,"Ergebnis stimmt - bitte als Formel eingeben!","noch nicht richtig")))</f>
        <v/>
      </c>
    </row>
    <row r="11">
      <c r="B11" s="19" t="inlineStr">
        <is>
          <t>apple</t>
        </is>
      </c>
      <c r="C11" s="17" t="inlineStr">
        <is>
          <t>genau drei Zeichen</t>
        </is>
      </c>
      <c r="D11" s="23" t="n"/>
      <c r="F11" s="18">
        <f>IF(D11="","Kontrolle",IF(AND(_xlfn.ISFORMULA(D11),D11=4),"OK - richtig",IF(D11=4,"Ergebnis stimmt - bitte als Formel eingeben!","noch nicht richtig")))</f>
        <v/>
      </c>
    </row>
    <row r="12">
      <c r="B12" s="19" t="inlineStr">
        <is>
          <t>A100</t>
        </is>
      </c>
      <c r="C12" s="17" t="inlineStr">
        <is>
          <t>endet mit th</t>
        </is>
      </c>
      <c r="D12" s="23" t="n"/>
      <c r="F12" s="18">
        <f>IF(D12="","Kontrolle",IF(AND(_xlfn.ISFORMULA(D12),D12=2),"OK - richtig",IF(D12=2,"Ergebnis stimmt - bitte als Formel eingeben!","noch nicht richtig")))</f>
        <v/>
      </c>
    </row>
    <row r="13">
      <c r="B13" s="19" t="inlineStr">
        <is>
          <t>bath</t>
        </is>
      </c>
      <c r="C13" s="17" t="inlineStr">
        <is>
          <t>beginnt mit c</t>
        </is>
      </c>
      <c r="D13" s="23" t="n"/>
      <c r="F13" s="18">
        <f>IF(D13="","Kontrolle",IF(AND(_xlfn.ISFORMULA(D13),D13=5),"OK - richtig",IF(D13=5,"Ergebnis stimmt - bitte als Formel eingeben!","noch nicht richtig")))</f>
        <v/>
      </c>
    </row>
    <row r="14">
      <c r="B14" s="19" t="inlineStr">
        <is>
          <t>fourth</t>
        </is>
      </c>
      <c r="C14" s="17" t="inlineStr">
        <is>
          <t>fünf Zeichen mit Strich an vierter Stelle</t>
        </is>
      </c>
      <c r="D14" s="23" t="n"/>
      <c r="F14" s="18">
        <f>IF(D14="","Kontrolle",IF(AND(_xlfn.ISFORMULA(D14),D14=2),"OK - richtig",IF(D14=2,"Ergebnis stimmt - bitte als Formel eingeben!","noch nicht richtig")))</f>
        <v/>
      </c>
    </row>
    <row r="15">
      <c r="B15" s="19" t="inlineStr">
        <is>
          <t>Cat</t>
        </is>
      </c>
      <c r="C15" s="17" t="inlineStr">
        <is>
          <t>endet mit einem Fragezeichen</t>
        </is>
      </c>
      <c r="D15" s="23" t="n"/>
      <c r="F15" s="18">
        <f>IF(D15="","Kontrolle",IF(AND(_xlfn.ISFORMULA(D15),D15=1),"OK - richtig",IF(D15=1,"Ergebnis stimmt - bitte als Formel eingeben!","noch nicht richtig")))</f>
        <v/>
      </c>
    </row>
    <row r="16">
      <c r="B16" s="19" t="inlineStr">
        <is>
          <t>CAB</t>
        </is>
      </c>
      <c r="C16" s="17" t="inlineStr">
        <is>
          <t>enthält xyz</t>
        </is>
      </c>
      <c r="D16" s="23" t="n"/>
      <c r="F16" s="18">
        <f>IF(D16="","Kontrolle",IF(AND(_xlfn.ISFORMULA(D16),D16=3),"OK - richtig",IF(D16=3,"Ergebnis stimmt - bitte als Formel eingeben!","noch nicht richtig")))</f>
        <v/>
      </c>
    </row>
    <row r="17">
      <c r="B17" s="19" t="inlineStr">
        <is>
          <t>cindy</t>
        </is>
      </c>
    </row>
    <row r="18" ht="30" customHeight="1">
      <c r="B18" s="26" t="inlineStr">
        <is>
          <t>Aufgabe 2:  Setze auf die Spalte Einträge einen Filter und filtere mit dem Textfilter und der Wildcard ?? alle Einträge mit genau zwei Zeichen heraus.</t>
        </is>
      </c>
    </row>
    <row r="19" ht="28" customHeight="1">
      <c r="B19" s="27" t="inlineStr">
        <is>
          <t>Tipp: Filter - Textfilter - Gleich - dort ?? eintragen. Es müssen zwei Treffer übrig bleiben (BB und ab). Filter danach wieder aufheben.</t>
        </is>
      </c>
    </row>
    <row r="20">
      <c r="B20" s="19" t="inlineStr">
        <is>
          <t>100-ZT</t>
        </is>
      </c>
    </row>
    <row r="21">
      <c r="B21" s="19" t="inlineStr">
        <is>
          <t>Hello?</t>
        </is>
      </c>
    </row>
    <row r="22">
      <c r="B22" s="19" t="inlineStr">
        <is>
          <t>code is XYZ</t>
        </is>
      </c>
    </row>
    <row r="23">
      <c r="B23" s="19" t="inlineStr">
        <is>
          <t>100-XYZ-2</t>
        </is>
      </c>
    </row>
    <row r="24">
      <c r="B24" s="19" t="inlineStr">
        <is>
          <t>XyZ90</t>
        </is>
      </c>
    </row>
    <row r="25">
      <c r="B25" s="19" t="inlineStr">
        <is>
          <t>ab</t>
        </is>
      </c>
    </row>
    <row r="26">
      <c r="B26" s="19" t="inlineStr">
        <is>
          <t>z</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B1:L54"/>
  <sheetViews>
    <sheetView showGridLines="1" workbookViewId="0">
      <selection activeCell="A1" sqref="A1"/>
    </sheetView>
  </sheetViews>
  <sheetFormatPr baseColWidth="8" defaultRowHeight="15"/>
  <cols>
    <col width="2" customWidth="1" min="1" max="1"/>
    <col width="4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4" customWidth="1" min="12" max="12"/>
  </cols>
  <sheetData>
    <row r="1" ht="22" customHeight="1">
      <c r="B1" s="1" t="inlineStr">
        <is>
          <t>8  Ausfüllen und Fixieren</t>
        </is>
      </c>
    </row>
    <row r="2">
      <c r="B2" s="15" t="inlineStr">
        <is>
          <t>Kapitel: Inhalte bearbeiten - Ausfüllen / Fixieren</t>
        </is>
      </c>
    </row>
    <row r="4" ht="15" customHeight="1">
      <c r="B4" s="16" t="inlineStr">
        <is>
          <t>Aufgabe 1:  Setze die Reihe mit dem Ausfüllkästchen fort - bis Freitag.</t>
        </is>
      </c>
    </row>
    <row r="5" ht="28" customHeight="1">
      <c r="B5" s="14" t="inlineStr">
        <is>
          <t>Tipp: Zelle anklicken, den kleinen Punkt rechts unten greifen und nach rechts ziehen.</t>
        </is>
      </c>
    </row>
    <row r="6">
      <c r="C6" s="19" t="inlineStr">
        <is>
          <t>Montag</t>
        </is>
      </c>
      <c r="D6" s="4" t="n"/>
      <c r="E6" s="4" t="n"/>
      <c r="F6" s="4" t="n"/>
      <c r="G6" s="4" t="n"/>
      <c r="L6" s="18">
        <f>IF(COUNTBLANK(D6:G6)&gt;0,"Kontrolle",IF(AND(EXACT(D6,"Dienstag"),EXACT(E6,"Mittwoch"),EXACT(F6,"Donnerstag"),EXACT(G6,"Freitag")),"OK - richtig","noch nicht richtig"))</f>
        <v/>
      </c>
    </row>
    <row r="8" ht="30" customHeight="1">
      <c r="B8" s="16" t="inlineStr">
        <is>
          <t>Aufgabe 2:  Setze die Zahlenreihe fort. Achtung: Excel erkennt den Abstand nur, wenn du BEIDE Startzellen markierst, bevor du ziehst.</t>
        </is>
      </c>
    </row>
    <row r="9" ht="28" customHeight="1">
      <c r="B9" s="14" t="inlineStr">
        <is>
          <t>Tipp: Nach dem Ziehen kannst du über das kleine Symbol umschalten zwischen Kopieren, Datenreihe und Formaten.</t>
        </is>
      </c>
    </row>
    <row r="10">
      <c r="C10" s="19" t="n">
        <v>5</v>
      </c>
      <c r="D10" s="19" t="n">
        <v>10</v>
      </c>
      <c r="E10" s="23" t="n"/>
      <c r="F10" s="23" t="n"/>
      <c r="G10" s="23" t="n"/>
      <c r="H10" s="23" t="n"/>
      <c r="L10" s="18">
        <f>IF(COUNTBLANK(E10:H10)&gt;0,"Kontrolle",IF(AND(E10=15,F10=20,G10=25,H10=30),"OK - richtig","noch nicht richtig"))</f>
        <v/>
      </c>
    </row>
    <row r="12" ht="30" customHeight="1">
      <c r="B12" s="16" t="inlineStr">
        <is>
          <t>Aufgabe 3:  Markiere die gelbe Zelle samt der fünf leeren Zellen darunter und verwende Start - Bearbeiten - Ausfüllen - Unten.</t>
        </is>
      </c>
    </row>
    <row r="13" ht="28" customHeight="1">
      <c r="B13" s="14" t="inlineStr">
        <is>
          <t>Tipp: Das kopiert den Inhalt der obersten Zelle nach unten - ohne Reihenlogik.</t>
        </is>
      </c>
    </row>
    <row r="14">
      <c r="C14" s="4" t="inlineStr">
        <is>
          <t>Kostenstelle 4711</t>
        </is>
      </c>
      <c r="L14" s="18">
        <f>IF(COUNTBLANK(C15:C19)&gt;0,"Kontrolle",IF(AND(EXACT(C15,"Kostenstelle 4711"),EXACT(C16,"Kostenstelle 4711"),EXACT(C17,"Kostenstelle 4711"),EXACT(C18,"Kostenstelle 4711"),EXACT(C19,"Kostenstelle 4711")),"OK - richtig","noch nicht richtig"))</f>
        <v/>
      </c>
    </row>
    <row r="15">
      <c r="C15" s="4" t="n"/>
    </row>
    <row r="16">
      <c r="C16" s="4" t="n"/>
    </row>
    <row r="17">
      <c r="C17" s="4" t="n"/>
    </row>
    <row r="18">
      <c r="C18" s="4" t="n"/>
    </row>
    <row r="19">
      <c r="C19" s="4" t="n"/>
    </row>
    <row r="21" ht="30" customHeight="1">
      <c r="B21" s="16" t="inlineStr">
        <is>
          <t>Aufgabe 4:  Der Datenbereich unten hat eine Kopfzeile. Fixiere sie so, dass sie beim Scrollen stehen bleibt - und zusätzlich die Spalte mit den Namen.</t>
        </is>
      </c>
    </row>
    <row r="22" ht="42" customHeight="1">
      <c r="B22" s="14" t="inlineStr">
        <is>
          <t>Tipp: In die erste Zelle klicken, die beweglich bleiben soll (hier eine Zelle rechts unterhalb der Kopfzeile), dann Ansicht - Fenster - Fenster fixieren - Fenster fixieren.</t>
        </is>
      </c>
    </row>
    <row r="24">
      <c r="C24" s="11" t="inlineStr">
        <is>
          <t>Mitarbeiter</t>
        </is>
      </c>
      <c r="D24" s="11" t="inlineStr">
        <is>
          <t>Abteilung</t>
        </is>
      </c>
      <c r="E24" s="11" t="inlineStr">
        <is>
          <t>Q1</t>
        </is>
      </c>
      <c r="F24" s="11" t="inlineStr">
        <is>
          <t>Q2</t>
        </is>
      </c>
      <c r="G24" s="11" t="inlineStr">
        <is>
          <t>Q3</t>
        </is>
      </c>
      <c r="H24" s="11" t="inlineStr">
        <is>
          <t>Q4</t>
        </is>
      </c>
    </row>
    <row r="25">
      <c r="C25" s="19" t="inlineStr">
        <is>
          <t>Bauer</t>
        </is>
      </c>
      <c r="D25" s="19" t="inlineStr">
        <is>
          <t>Vertrieb</t>
        </is>
      </c>
      <c r="E25" s="20" t="n">
        <v>4652</v>
      </c>
      <c r="F25" s="20" t="n">
        <v>3235</v>
      </c>
      <c r="G25" s="20" t="n">
        <v>5234</v>
      </c>
      <c r="H25" s="20" t="n">
        <v>7332</v>
      </c>
    </row>
    <row r="26">
      <c r="C26" s="19" t="inlineStr">
        <is>
          <t>Huber</t>
        </is>
      </c>
      <c r="D26" s="19" t="inlineStr">
        <is>
          <t>Technik</t>
        </is>
      </c>
      <c r="E26" s="20" t="n">
        <v>2395</v>
      </c>
      <c r="F26" s="20" t="n">
        <v>2593</v>
      </c>
      <c r="G26" s="20" t="n">
        <v>8727</v>
      </c>
      <c r="H26" s="20" t="n">
        <v>6389</v>
      </c>
    </row>
    <row r="27">
      <c r="C27" s="19" t="inlineStr">
        <is>
          <t>Gruber</t>
        </is>
      </c>
      <c r="D27" s="19" t="inlineStr">
        <is>
          <t>Einkauf</t>
        </is>
      </c>
      <c r="E27" s="20" t="n">
        <v>2771</v>
      </c>
      <c r="F27" s="20" t="n">
        <v>4995</v>
      </c>
      <c r="G27" s="20" t="n">
        <v>6774</v>
      </c>
      <c r="H27" s="20" t="n">
        <v>2475</v>
      </c>
    </row>
    <row r="28">
      <c r="C28" s="19" t="inlineStr">
        <is>
          <t>Wagner</t>
        </is>
      </c>
      <c r="D28" s="19" t="inlineStr">
        <is>
          <t>Vertrieb</t>
        </is>
      </c>
      <c r="E28" s="20" t="n">
        <v>6156</v>
      </c>
      <c r="F28" s="20" t="n">
        <v>3758</v>
      </c>
      <c r="G28" s="20" t="n">
        <v>2307</v>
      </c>
      <c r="H28" s="20" t="n">
        <v>2704</v>
      </c>
    </row>
    <row r="29">
      <c r="C29" s="19" t="inlineStr">
        <is>
          <t>Moser</t>
        </is>
      </c>
      <c r="D29" s="19" t="inlineStr">
        <is>
          <t>Technik</t>
        </is>
      </c>
      <c r="E29" s="20" t="n">
        <v>5552</v>
      </c>
      <c r="F29" s="20" t="n">
        <v>5425</v>
      </c>
      <c r="G29" s="20" t="n">
        <v>2572</v>
      </c>
      <c r="H29" s="20" t="n">
        <v>3971</v>
      </c>
    </row>
    <row r="30">
      <c r="C30" s="19" t="inlineStr">
        <is>
          <t>Steiner</t>
        </is>
      </c>
      <c r="D30" s="19" t="inlineStr">
        <is>
          <t>Einkauf</t>
        </is>
      </c>
      <c r="E30" s="20" t="n">
        <v>2743</v>
      </c>
      <c r="F30" s="20" t="n">
        <v>6514</v>
      </c>
      <c r="G30" s="20" t="n">
        <v>5477</v>
      </c>
      <c r="H30" s="20" t="n">
        <v>2484</v>
      </c>
    </row>
    <row r="31">
      <c r="C31" s="19" t="inlineStr">
        <is>
          <t>Berger</t>
        </is>
      </c>
      <c r="D31" s="19" t="inlineStr">
        <is>
          <t>Vertrieb</t>
        </is>
      </c>
      <c r="E31" s="20" t="n">
        <v>8773</v>
      </c>
      <c r="F31" s="20" t="n">
        <v>6632</v>
      </c>
      <c r="G31" s="20" t="n">
        <v>3014</v>
      </c>
      <c r="H31" s="20" t="n">
        <v>3828</v>
      </c>
    </row>
    <row r="32">
      <c r="C32" s="19" t="inlineStr">
        <is>
          <t>Fuchs</t>
        </is>
      </c>
      <c r="D32" s="19" t="inlineStr">
        <is>
          <t>Technik</t>
        </is>
      </c>
      <c r="E32" s="20" t="n">
        <v>7166</v>
      </c>
      <c r="F32" s="20" t="n">
        <v>7139</v>
      </c>
      <c r="G32" s="20" t="n">
        <v>6775</v>
      </c>
      <c r="H32" s="20" t="n">
        <v>2506</v>
      </c>
    </row>
    <row r="33">
      <c r="C33" s="19" t="inlineStr">
        <is>
          <t>Mayer</t>
        </is>
      </c>
      <c r="D33" s="19" t="inlineStr">
        <is>
          <t>Einkauf</t>
        </is>
      </c>
      <c r="E33" s="20" t="n">
        <v>6727</v>
      </c>
      <c r="F33" s="20" t="n">
        <v>6796</v>
      </c>
      <c r="G33" s="20" t="n">
        <v>5249</v>
      </c>
      <c r="H33" s="20" t="n">
        <v>2406</v>
      </c>
    </row>
    <row r="34">
      <c r="C34" s="19" t="inlineStr">
        <is>
          <t>Winkler</t>
        </is>
      </c>
      <c r="D34" s="19" t="inlineStr">
        <is>
          <t>Vertrieb</t>
        </is>
      </c>
      <c r="E34" s="20" t="n">
        <v>3811</v>
      </c>
      <c r="F34" s="20" t="n">
        <v>2381</v>
      </c>
      <c r="G34" s="20" t="n">
        <v>6560</v>
      </c>
      <c r="H34" s="20" t="n">
        <v>3090</v>
      </c>
    </row>
    <row r="35">
      <c r="C35" s="19" t="inlineStr">
        <is>
          <t>Weber</t>
        </is>
      </c>
      <c r="D35" s="19" t="inlineStr">
        <is>
          <t>Technik</t>
        </is>
      </c>
      <c r="E35" s="20" t="n">
        <v>4372</v>
      </c>
      <c r="F35" s="20" t="n">
        <v>5433</v>
      </c>
      <c r="G35" s="20" t="n">
        <v>3181</v>
      </c>
      <c r="H35" s="20" t="n">
        <v>6429</v>
      </c>
    </row>
    <row r="36">
      <c r="C36" s="19" t="inlineStr">
        <is>
          <t>Schwarz</t>
        </is>
      </c>
      <c r="D36" s="19" t="inlineStr">
        <is>
          <t>Einkauf</t>
        </is>
      </c>
      <c r="E36" s="20" t="n">
        <v>2964</v>
      </c>
      <c r="F36" s="20" t="n">
        <v>6676</v>
      </c>
      <c r="G36" s="20" t="n">
        <v>4527</v>
      </c>
      <c r="H36" s="20" t="n">
        <v>6589</v>
      </c>
    </row>
    <row r="37">
      <c r="C37" s="19" t="inlineStr">
        <is>
          <t>Lang</t>
        </is>
      </c>
      <c r="D37" s="19" t="inlineStr">
        <is>
          <t>Vertrieb</t>
        </is>
      </c>
      <c r="E37" s="20" t="n">
        <v>8685</v>
      </c>
      <c r="F37" s="20" t="n">
        <v>7586</v>
      </c>
      <c r="G37" s="20" t="n">
        <v>3480</v>
      </c>
      <c r="H37" s="20" t="n">
        <v>2844</v>
      </c>
    </row>
    <row r="38">
      <c r="C38" s="19" t="inlineStr">
        <is>
          <t>Hofer</t>
        </is>
      </c>
      <c r="D38" s="19" t="inlineStr">
        <is>
          <t>Technik</t>
        </is>
      </c>
      <c r="E38" s="20" t="n">
        <v>6764</v>
      </c>
      <c r="F38" s="20" t="n">
        <v>6679</v>
      </c>
      <c r="G38" s="20" t="n">
        <v>7233</v>
      </c>
      <c r="H38" s="20" t="n">
        <v>3539</v>
      </c>
    </row>
    <row r="39">
      <c r="C39" s="19" t="inlineStr">
        <is>
          <t>Pichler</t>
        </is>
      </c>
      <c r="D39" s="19" t="inlineStr">
        <is>
          <t>Einkauf</t>
        </is>
      </c>
      <c r="E39" s="20" t="n">
        <v>5050</v>
      </c>
      <c r="F39" s="20" t="n">
        <v>2798</v>
      </c>
      <c r="G39" s="20" t="n">
        <v>6487</v>
      </c>
      <c r="H39" s="20" t="n">
        <v>7833</v>
      </c>
    </row>
    <row r="40">
      <c r="C40" s="19" t="inlineStr">
        <is>
          <t>Wolf</t>
        </is>
      </c>
      <c r="D40" s="19" t="inlineStr">
        <is>
          <t>Vertrieb</t>
        </is>
      </c>
      <c r="E40" s="20" t="n">
        <v>2514</v>
      </c>
      <c r="F40" s="20" t="n">
        <v>6623</v>
      </c>
      <c r="G40" s="20" t="n">
        <v>2488</v>
      </c>
      <c r="H40" s="20" t="n">
        <v>7070</v>
      </c>
    </row>
    <row r="41">
      <c r="C41" s="19" t="inlineStr">
        <is>
          <t>Aigner</t>
        </is>
      </c>
      <c r="D41" s="19" t="inlineStr">
        <is>
          <t>Technik</t>
        </is>
      </c>
      <c r="E41" s="20" t="n">
        <v>3687</v>
      </c>
      <c r="F41" s="20" t="n">
        <v>6066</v>
      </c>
      <c r="G41" s="20" t="n">
        <v>7573</v>
      </c>
      <c r="H41" s="20" t="n">
        <v>6355</v>
      </c>
    </row>
    <row r="42">
      <c r="C42" s="19" t="inlineStr">
        <is>
          <t>Ebner</t>
        </is>
      </c>
      <c r="D42" s="19" t="inlineStr">
        <is>
          <t>Einkauf</t>
        </is>
      </c>
      <c r="E42" s="20" t="n">
        <v>5502</v>
      </c>
      <c r="F42" s="20" t="n">
        <v>8367</v>
      </c>
      <c r="G42" s="20" t="n">
        <v>4573</v>
      </c>
      <c r="H42" s="20" t="n">
        <v>5814</v>
      </c>
    </row>
    <row r="43">
      <c r="C43" s="19" t="inlineStr">
        <is>
          <t>Reiter</t>
        </is>
      </c>
      <c r="D43" s="19" t="inlineStr">
        <is>
          <t>Vertrieb</t>
        </is>
      </c>
      <c r="E43" s="20" t="n">
        <v>6796</v>
      </c>
      <c r="F43" s="20" t="n">
        <v>5712</v>
      </c>
      <c r="G43" s="20" t="n">
        <v>4962</v>
      </c>
      <c r="H43" s="20" t="n">
        <v>4455</v>
      </c>
    </row>
    <row r="44">
      <c r="C44" s="19" t="inlineStr">
        <is>
          <t>Brunner</t>
        </is>
      </c>
      <c r="D44" s="19" t="inlineStr">
        <is>
          <t>Technik</t>
        </is>
      </c>
      <c r="E44" s="20" t="n">
        <v>4035</v>
      </c>
      <c r="F44" s="20" t="n">
        <v>8507</v>
      </c>
      <c r="G44" s="20" t="n">
        <v>3472</v>
      </c>
      <c r="H44" s="20" t="n">
        <v>7726</v>
      </c>
    </row>
    <row r="45">
      <c r="C45" s="19" t="inlineStr">
        <is>
          <t>Egger</t>
        </is>
      </c>
      <c r="D45" s="19" t="inlineStr">
        <is>
          <t>Einkauf</t>
        </is>
      </c>
      <c r="E45" s="20" t="n">
        <v>8388</v>
      </c>
      <c r="F45" s="20" t="n">
        <v>3999</v>
      </c>
      <c r="G45" s="20" t="n">
        <v>2670</v>
      </c>
      <c r="H45" s="20" t="n">
        <v>6705</v>
      </c>
    </row>
    <row r="46">
      <c r="C46" s="19" t="inlineStr">
        <is>
          <t>Haas</t>
        </is>
      </c>
      <c r="D46" s="19" t="inlineStr">
        <is>
          <t>Vertrieb</t>
        </is>
      </c>
      <c r="E46" s="20" t="n">
        <v>4459</v>
      </c>
      <c r="F46" s="20" t="n">
        <v>6302</v>
      </c>
      <c r="G46" s="20" t="n">
        <v>6055</v>
      </c>
      <c r="H46" s="20" t="n">
        <v>4813</v>
      </c>
    </row>
    <row r="47">
      <c r="C47" s="19" t="inlineStr">
        <is>
          <t>Kern</t>
        </is>
      </c>
      <c r="D47" s="19" t="inlineStr">
        <is>
          <t>Technik</t>
        </is>
      </c>
      <c r="E47" s="20" t="n">
        <v>7975</v>
      </c>
      <c r="F47" s="20" t="n">
        <v>5676</v>
      </c>
      <c r="G47" s="20" t="n">
        <v>4358</v>
      </c>
      <c r="H47" s="20" t="n">
        <v>6988</v>
      </c>
    </row>
    <row r="48">
      <c r="C48" s="19" t="inlineStr">
        <is>
          <t>Nagel</t>
        </is>
      </c>
      <c r="D48" s="19" t="inlineStr">
        <is>
          <t>Einkauf</t>
        </is>
      </c>
      <c r="E48" s="20" t="n">
        <v>2599</v>
      </c>
      <c r="F48" s="20" t="n">
        <v>2967</v>
      </c>
      <c r="G48" s="20" t="n">
        <v>6193</v>
      </c>
      <c r="H48" s="20" t="n">
        <v>5425</v>
      </c>
    </row>
    <row r="49">
      <c r="C49" s="19" t="inlineStr">
        <is>
          <t>Ortner</t>
        </is>
      </c>
      <c r="D49" s="19" t="inlineStr">
        <is>
          <t>Vertrieb</t>
        </is>
      </c>
      <c r="E49" s="20" t="n">
        <v>3351</v>
      </c>
      <c r="F49" s="20" t="n">
        <v>8202</v>
      </c>
      <c r="G49" s="20" t="n">
        <v>4802</v>
      </c>
      <c r="H49" s="20" t="n">
        <v>3245</v>
      </c>
    </row>
    <row r="50">
      <c r="C50" s="19" t="inlineStr">
        <is>
          <t>Prantl</t>
        </is>
      </c>
      <c r="D50" s="19" t="inlineStr">
        <is>
          <t>Technik</t>
        </is>
      </c>
      <c r="E50" s="20" t="n">
        <v>6005</v>
      </c>
      <c r="F50" s="20" t="n">
        <v>5454</v>
      </c>
      <c r="G50" s="20" t="n">
        <v>2321</v>
      </c>
      <c r="H50" s="20" t="n">
        <v>7474</v>
      </c>
    </row>
    <row r="51">
      <c r="C51" s="19" t="inlineStr">
        <is>
          <t>Riedl</t>
        </is>
      </c>
      <c r="D51" s="19" t="inlineStr">
        <is>
          <t>Einkauf</t>
        </is>
      </c>
      <c r="E51" s="20" t="n">
        <v>2635</v>
      </c>
      <c r="F51" s="20" t="n">
        <v>8263</v>
      </c>
      <c r="G51" s="20" t="n">
        <v>6571</v>
      </c>
      <c r="H51" s="20" t="n">
        <v>6694</v>
      </c>
    </row>
    <row r="52">
      <c r="C52" s="19" t="inlineStr">
        <is>
          <t>Sailer</t>
        </is>
      </c>
      <c r="D52" s="19" t="inlineStr">
        <is>
          <t>Vertrieb</t>
        </is>
      </c>
      <c r="E52" s="20" t="n">
        <v>8464</v>
      </c>
      <c r="F52" s="20" t="n">
        <v>8703</v>
      </c>
      <c r="G52" s="20" t="n">
        <v>4570</v>
      </c>
      <c r="H52" s="20" t="n">
        <v>4786</v>
      </c>
    </row>
    <row r="53">
      <c r="C53" s="19" t="inlineStr">
        <is>
          <t>Trenker</t>
        </is>
      </c>
      <c r="D53" s="19" t="inlineStr">
        <is>
          <t>Technik</t>
        </is>
      </c>
      <c r="E53" s="20" t="n">
        <v>7695</v>
      </c>
      <c r="F53" s="20" t="n">
        <v>4868</v>
      </c>
      <c r="G53" s="20" t="n">
        <v>6869</v>
      </c>
      <c r="H53" s="20" t="n">
        <v>6068</v>
      </c>
    </row>
    <row r="54">
      <c r="C54" s="19" t="inlineStr">
        <is>
          <t>Url</t>
        </is>
      </c>
      <c r="D54" s="19" t="inlineStr">
        <is>
          <t>Einkauf</t>
        </is>
      </c>
      <c r="E54" s="20" t="n">
        <v>6750</v>
      </c>
      <c r="F54" s="20" t="n">
        <v>8528</v>
      </c>
      <c r="G54" s="20" t="n">
        <v>5737</v>
      </c>
      <c r="H54" s="20" t="n">
        <v>2563</v>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B1:E23"/>
  <sheetViews>
    <sheetView showGridLines="1" workbookViewId="0">
      <selection activeCell="A1" sqref="A1"/>
    </sheetView>
  </sheetViews>
  <sheetFormatPr baseColWidth="8" defaultRowHeight="15"/>
  <cols>
    <col width="2" customWidth="1" min="1" max="1"/>
    <col width="46" customWidth="1" min="2" max="2"/>
    <col width="20" customWidth="1" min="3" max="3"/>
    <col width="22" customWidth="1" min="4" max="4"/>
    <col width="52" customWidth="1" min="5" max="5"/>
  </cols>
  <sheetData>
    <row r="1" ht="22" customHeight="1">
      <c r="B1" s="1" t="inlineStr">
        <is>
          <t>9  Inhaltsformate</t>
        </is>
      </c>
    </row>
    <row r="2">
      <c r="B2" s="15" t="inlineStr">
        <is>
          <t>Kapitel: Einfache Formatierungen - Inhaltsformate</t>
        </is>
      </c>
    </row>
    <row r="4" ht="28" customHeight="1">
      <c r="B4" s="14" t="inlineStr">
        <is>
          <t>Alle Zellen der Spalte "deine Zelle" enthalten denselben Wert. Nur die Formatierung unterscheidet sich - der Wert dahinter ändert sich nie.</t>
        </is>
      </c>
    </row>
    <row r="6">
      <c r="B6" s="11" t="inlineStr">
        <is>
          <t>Gewünschte Darstellung</t>
        </is>
      </c>
      <c r="C6" s="11" t="inlineStr">
        <is>
          <t>deine Zelle</t>
        </is>
      </c>
      <c r="D6" s="11" t="inlineStr">
        <is>
          <t>Muster</t>
        </is>
      </c>
      <c r="E6" s="11" t="inlineStr">
        <is>
          <t>Weg</t>
        </is>
      </c>
    </row>
    <row r="7">
      <c r="B7" s="17" t="inlineStr">
        <is>
          <t>1.234,57</t>
        </is>
      </c>
      <c r="C7" s="4" t="n">
        <v>1234.5678</v>
      </c>
      <c r="D7" s="21" t="n">
        <v>1234.5678</v>
      </c>
      <c r="E7" s="15" t="inlineStr">
        <is>
          <t>Start - Zahl - Zahl, Tausendertrennzeichen an</t>
        </is>
      </c>
    </row>
    <row r="8">
      <c r="B8" s="17" t="inlineStr">
        <is>
          <t>1.234,57 €</t>
        </is>
      </c>
      <c r="C8" s="4" t="n">
        <v>1234.5678</v>
      </c>
      <c r="D8" s="28" t="n">
        <v>1234.5678</v>
      </c>
      <c r="E8" s="15" t="inlineStr">
        <is>
          <t>Start - Zahl - Buchhaltung bzw. Währung</t>
        </is>
      </c>
    </row>
    <row r="9">
      <c r="B9" s="17" t="inlineStr">
        <is>
          <t>123457 %</t>
        </is>
      </c>
      <c r="C9" s="4" t="n">
        <v>1234.5678</v>
      </c>
      <c r="D9" s="29" t="n">
        <v>1234.5678</v>
      </c>
      <c r="E9" s="15" t="inlineStr">
        <is>
          <t>Start - Zahl - Prozent</t>
        </is>
      </c>
    </row>
    <row r="10">
      <c r="B10" s="17" t="inlineStr">
        <is>
          <t>1,23E+03</t>
        </is>
      </c>
      <c r="C10" s="4" t="n">
        <v>1234.5678</v>
      </c>
      <c r="D10" s="30" t="n">
        <v>1234.5678</v>
      </c>
      <c r="E10" s="15" t="inlineStr">
        <is>
          <t>Weitere Zahlenformate - Wissenschaft</t>
        </is>
      </c>
    </row>
    <row r="11">
      <c r="B11" s="17" t="inlineStr">
        <is>
          <t>1.234,57 mm</t>
        </is>
      </c>
      <c r="C11" s="4" t="n">
        <v>1234.5678</v>
      </c>
      <c r="D11" s="31" t="n">
        <v>1234.5678</v>
      </c>
      <c r="E11" s="15" t="inlineStr">
        <is>
          <t>Benutzerdefiniert:  #.##0,00 "mm"</t>
        </is>
      </c>
    </row>
    <row r="12">
      <c r="B12" s="17" t="inlineStr">
        <is>
          <t>1 Stück / 5 Stücke</t>
        </is>
      </c>
      <c r="C12" s="4" t="n">
        <v>1</v>
      </c>
      <c r="D12" s="32" t="n">
        <v>1</v>
      </c>
      <c r="E12" s="15" t="inlineStr">
        <is>
          <t>Benutzerdefiniert:  [=1]0 "Stück";#.##0 "Stücke"</t>
        </is>
      </c>
    </row>
    <row r="14" ht="30" customHeight="1">
      <c r="B14" s="16" t="inlineStr">
        <is>
          <t>Aufgabe 1:  Setze den Wert der Einzahl-/Mehrzahl-Zelle auf 5 und prüfe, ob die Darstellung wirklich auf Stücke umschaltet.</t>
        </is>
      </c>
    </row>
    <row r="15" ht="30" customHeight="1">
      <c r="B15" s="16" t="inlineStr">
        <is>
          <t>Aufgabe 2:  Hinter jedem Datum steckt eine ganze Zahl. Formatiere die graue Zelle einmal als Datum und einmal als Zahl und trage die Zahl unten ein.</t>
        </is>
      </c>
    </row>
    <row r="16" ht="28" customHeight="1">
      <c r="B16" s="14" t="inlineStr">
        <is>
          <t>Tipp: Rechtsklick - Zellen formatieren - Standard zeigt die Zahl hinter dem Datum.</t>
        </is>
      </c>
    </row>
    <row r="17">
      <c r="C17" s="33" t="n">
        <v>45352</v>
      </c>
    </row>
    <row r="18">
      <c r="B18" s="17" t="inlineStr">
        <is>
          <t>Zahl hinter dem 01.03.2024</t>
        </is>
      </c>
      <c r="C18" s="23" t="n"/>
      <c r="E18" s="18">
        <f>IF(C18="","Kontrolle",IF(C18=45352,"OK - richtig","noch nicht richtig"))</f>
        <v/>
      </c>
    </row>
    <row r="20" ht="30" customHeight="1">
      <c r="B20" s="16" t="inlineStr">
        <is>
          <t>Aufgabe 3:  Uhrzeiten liegen zwischen 0 und 1. Berechne, wie viele Stunden zwischen 08:30 und 16:45 liegen - formatiere das Ergebnis als Uhrzeit hh:mm.</t>
        </is>
      </c>
    </row>
    <row r="21">
      <c r="C21" s="34" t="n">
        <v>0.3541666666666667</v>
      </c>
    </row>
    <row r="22">
      <c r="C22" s="34" t="n">
        <v>0.6979166666666666</v>
      </c>
    </row>
    <row r="23">
      <c r="B23" s="17" t="inlineStr">
        <is>
          <t>Dauer</t>
        </is>
      </c>
      <c r="C23" s="35" t="n"/>
      <c r="E23" s="18">
        <f>IF(C23="","Kontrolle",IF(AND(_xlfn.ISFORMULA(C23),ABS(C23-0.34375)&lt;0.0001),"OK - richtig",IF(ABS(C23-0.34375)&lt;0.0001,"Ergebnis stimmt - bitte als Formel eingeben!","noch nicht richtig")))</f>
        <v/>
      </c>
    </row>
  </sheetData>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B1:F34"/>
  <sheetViews>
    <sheetView showGridLines="1" workbookViewId="0">
      <selection activeCell="A1" sqref="A1"/>
    </sheetView>
  </sheetViews>
  <sheetFormatPr baseColWidth="8" defaultRowHeight="15"/>
  <cols>
    <col width="2" customWidth="1" min="1" max="1"/>
    <col width="14" customWidth="1" min="2" max="2"/>
    <col width="16" customWidth="1" min="3" max="3"/>
    <col width="16" customWidth="1" min="4" max="4"/>
    <col width="16" customWidth="1" min="5" max="5"/>
    <col width="16" customWidth="1" min="6" max="6"/>
    <col width="16" customWidth="1" min="7" max="7"/>
  </cols>
  <sheetData>
    <row r="1" ht="22" customHeight="1">
      <c r="B1" s="1" t="inlineStr">
        <is>
          <t>10  Praxisfall - Quelldaten</t>
        </is>
      </c>
    </row>
    <row r="2">
      <c r="B2" s="15" t="inlineStr">
        <is>
          <t>So kommen die Daten aus dem Vorsystem. Baue daraus auf einer KOPIE dieses Blattes das Zielbild nach.</t>
        </is>
      </c>
    </row>
    <row r="4" ht="56" customHeight="1">
      <c r="B4" s="2" t="inlineStr">
        <is>
          <t>Aufgabe: Kopiere dieses Arbeitsblatt, benenne die Kopie auf Ergebnis, gib ihr die Registerfarbe Rot und bringe sie in die Form des Blattes "11 Zielbild". Achte auf Überschriften, Rahmen, Farben, Zahlen- und Datumsformate, Spaltenbreiten, fixierte Kopfzeile und Filter.</t>
        </is>
      </c>
    </row>
    <row r="6" ht="42" customHeight="1">
      <c r="B6" s="14" t="inlineStr">
        <is>
          <t>Achtung: In den Rohdaten stecken typische Fehler - Leerzeichen vor und nach dem Produktnamen, Zahlen die als Text gespeichert sind, ein Rechenfehler und doppelte Produktbezeichnungen (AA statt A).</t>
        </is>
      </c>
    </row>
    <row r="9">
      <c r="B9" s="36" t="inlineStr">
        <is>
          <t>Datenauszug</t>
        </is>
      </c>
      <c r="D9" s="15" t="inlineStr">
        <is>
          <t>Beschreibung: Hierbei handelt es sich um Produktdaten.</t>
        </is>
      </c>
    </row>
    <row r="11">
      <c r="B11" s="24" t="inlineStr">
        <is>
          <t>Jahr</t>
        </is>
      </c>
      <c r="C11" s="24" t="inlineStr">
        <is>
          <t>Datum</t>
        </is>
      </c>
      <c r="D11" s="24" t="inlineStr">
        <is>
          <t>Produkt</t>
        </is>
      </c>
      <c r="E11" s="24" t="inlineStr">
        <is>
          <t>Anzahl</t>
        </is>
      </c>
      <c r="F11" s="24" t="inlineStr">
        <is>
          <t>Wert</t>
        </is>
      </c>
    </row>
    <row r="12">
      <c r="B12" t="n">
        <v>2019</v>
      </c>
      <c r="C12" t="n">
        <v>43749</v>
      </c>
      <c r="D12" t="inlineStr">
        <is>
          <t>A</t>
        </is>
      </c>
      <c r="E12" t="n">
        <v>5948</v>
      </c>
      <c r="F12" t="n">
        <v>59480</v>
      </c>
    </row>
    <row r="13">
      <c r="B13" t="n">
        <v>2019</v>
      </c>
      <c r="C13" t="n">
        <v>43748</v>
      </c>
      <c r="D13" t="inlineStr">
        <is>
          <t>A</t>
        </is>
      </c>
      <c r="E13" t="n">
        <v>4818</v>
      </c>
      <c r="F13" t="n">
        <v>48180</v>
      </c>
    </row>
    <row r="14">
      <c r="B14" t="n">
        <v>2019</v>
      </c>
      <c r="C14" t="n">
        <v>43747</v>
      </c>
      <c r="D14" t="inlineStr">
        <is>
          <t xml:space="preserve">      A</t>
        </is>
      </c>
      <c r="E14" t="n">
        <v>4116</v>
      </c>
      <c r="F14" t="n">
        <v>41160</v>
      </c>
    </row>
    <row r="15">
      <c r="B15" t="n">
        <v>2019</v>
      </c>
      <c r="C15" t="n">
        <v>43746</v>
      </c>
      <c r="D15" t="inlineStr">
        <is>
          <t>A</t>
        </is>
      </c>
      <c r="E15" t="n">
        <v>4403</v>
      </c>
      <c r="F15" t="n">
        <v>44030</v>
      </c>
    </row>
    <row r="16">
      <c r="B16" t="n">
        <v>2019</v>
      </c>
      <c r="C16" t="n">
        <v>43745</v>
      </c>
      <c r="D16" t="inlineStr">
        <is>
          <t xml:space="preserve">A </t>
        </is>
      </c>
      <c r="E16" t="n">
        <v>4295</v>
      </c>
      <c r="F16" t="n">
        <v>42950</v>
      </c>
    </row>
    <row r="17">
      <c r="B17" t="n">
        <v>2019</v>
      </c>
      <c r="C17" t="n">
        <v>43744</v>
      </c>
      <c r="D17" t="inlineStr">
        <is>
          <t>A</t>
        </is>
      </c>
      <c r="E17" t="n">
        <v>5240</v>
      </c>
      <c r="F17" t="n">
        <v>52400</v>
      </c>
    </row>
    <row r="18">
      <c r="B18" t="n">
        <v>2019</v>
      </c>
      <c r="C18" t="n">
        <v>43743</v>
      </c>
      <c r="D18" t="inlineStr">
        <is>
          <t>A</t>
        </is>
      </c>
      <c r="E18" t="n">
        <v>6386</v>
      </c>
      <c r="F18" t="n">
        <v>63860</v>
      </c>
    </row>
    <row r="19">
      <c r="B19" t="n">
        <v>2019</v>
      </c>
      <c r="C19" t="n">
        <v>43742</v>
      </c>
      <c r="D19" t="inlineStr">
        <is>
          <t>A</t>
        </is>
      </c>
      <c r="E19" t="n">
        <v>2671</v>
      </c>
      <c r="F19" t="n">
        <v>26710</v>
      </c>
    </row>
    <row r="20">
      <c r="B20" t="n">
        <v>2019</v>
      </c>
      <c r="C20" t="n">
        <v>43741</v>
      </c>
      <c r="D20" t="inlineStr">
        <is>
          <t>AA</t>
        </is>
      </c>
      <c r="E20" t="n">
        <v>1861</v>
      </c>
      <c r="F20" t="n">
        <v>18610</v>
      </c>
    </row>
    <row r="21">
      <c r="B21" t="n">
        <v>2018</v>
      </c>
      <c r="C21" t="n">
        <v>43384</v>
      </c>
      <c r="D21" t="inlineStr">
        <is>
          <t>BB</t>
        </is>
      </c>
      <c r="E21" t="n">
        <v>8590</v>
      </c>
      <c r="F21" t="n">
        <v>85900</v>
      </c>
    </row>
    <row r="22">
      <c r="B22" t="inlineStr">
        <is>
          <t>2 0 1 8</t>
        </is>
      </c>
      <c r="C22" t="n">
        <v>43383</v>
      </c>
      <c r="D22" t="inlineStr">
        <is>
          <t>B</t>
        </is>
      </c>
      <c r="E22" t="n">
        <v>3556</v>
      </c>
      <c r="F22" t="n">
        <v>35560</v>
      </c>
    </row>
    <row r="23">
      <c r="B23" t="n">
        <v>2018</v>
      </c>
      <c r="C23" t="n">
        <v>43382</v>
      </c>
      <c r="D23" t="inlineStr">
        <is>
          <t>B</t>
        </is>
      </c>
      <c r="E23" t="n">
        <v>8402</v>
      </c>
      <c r="F23" t="n">
        <v>84020</v>
      </c>
    </row>
    <row r="24">
      <c r="B24" t="n">
        <v>2018</v>
      </c>
      <c r="C24" t="n">
        <v>43381</v>
      </c>
      <c r="D24" t="inlineStr">
        <is>
          <t>B</t>
        </is>
      </c>
      <c r="E24">
        <f>7486/0</f>
        <v/>
      </c>
      <c r="F24" t="n">
        <v>74860</v>
      </c>
    </row>
    <row r="25">
      <c r="B25" t="n">
        <v>2018</v>
      </c>
      <c r="C25" t="n">
        <v>43380</v>
      </c>
      <c r="D25" t="inlineStr">
        <is>
          <t>B</t>
        </is>
      </c>
      <c r="E25" t="n">
        <v>3613</v>
      </c>
      <c r="F25" t="n">
        <v>36130</v>
      </c>
    </row>
    <row r="26">
      <c r="B26" t="n">
        <v>2018</v>
      </c>
      <c r="C26" t="n">
        <v>43379</v>
      </c>
      <c r="D26" t="inlineStr">
        <is>
          <t>B</t>
        </is>
      </c>
      <c r="E26" t="n">
        <v>5853</v>
      </c>
      <c r="F26" t="n">
        <v>58530</v>
      </c>
    </row>
    <row r="27">
      <c r="B27" t="n">
        <v>2018</v>
      </c>
      <c r="C27" t="n">
        <v>43378</v>
      </c>
      <c r="D27" t="inlineStr">
        <is>
          <t>B</t>
        </is>
      </c>
      <c r="E27" t="inlineStr">
        <is>
          <t>7412</t>
        </is>
      </c>
      <c r="F27" t="n">
        <v>74120</v>
      </c>
    </row>
    <row r="28">
      <c r="B28" t="n">
        <v>2017</v>
      </c>
      <c r="C28" t="n">
        <v>43019</v>
      </c>
      <c r="D28" t="inlineStr">
        <is>
          <t>CC</t>
        </is>
      </c>
      <c r="E28" t="n">
        <v>2739</v>
      </c>
      <c r="F28" t="n">
        <v>27390</v>
      </c>
    </row>
    <row r="29">
      <c r="B29" t="n">
        <v>2017</v>
      </c>
      <c r="C29" t="n">
        <v>43018</v>
      </c>
      <c r="D29" t="inlineStr">
        <is>
          <t>C</t>
        </is>
      </c>
      <c r="E29" t="n">
        <v>2224</v>
      </c>
      <c r="F29" t="n">
        <v>22240</v>
      </c>
    </row>
    <row r="30">
      <c r="B30" t="n">
        <v>2017</v>
      </c>
      <c r="C30" t="n">
        <v>43017</v>
      </c>
      <c r="D30" t="inlineStr">
        <is>
          <t>C</t>
        </is>
      </c>
      <c r="E30" t="n">
        <v>5028</v>
      </c>
      <c r="F30" t="n">
        <v>50280</v>
      </c>
    </row>
    <row r="31">
      <c r="B31" t="n">
        <v>2017</v>
      </c>
      <c r="C31" t="n">
        <v>43016</v>
      </c>
      <c r="D31" t="inlineStr">
        <is>
          <t>C</t>
        </is>
      </c>
      <c r="E31" t="n">
        <v>1844</v>
      </c>
      <c r="F31" t="n">
        <v>18440</v>
      </c>
    </row>
    <row r="32">
      <c r="B32" t="n">
        <v>2017</v>
      </c>
      <c r="C32" t="n">
        <v>43015</v>
      </c>
      <c r="D32" t="inlineStr">
        <is>
          <t>C</t>
        </is>
      </c>
      <c r="E32" t="n">
        <v>8772</v>
      </c>
      <c r="F32" t="n">
        <v>87720</v>
      </c>
    </row>
    <row r="33">
      <c r="B33" t="n">
        <v>2017</v>
      </c>
      <c r="C33" t="n">
        <v>43014</v>
      </c>
      <c r="D33" t="inlineStr">
        <is>
          <t>C</t>
        </is>
      </c>
      <c r="E33" t="n">
        <v>6163</v>
      </c>
      <c r="F33" t="n">
        <v>61630</v>
      </c>
    </row>
    <row r="34">
      <c r="B34" t="n">
        <v>2017</v>
      </c>
      <c r="C34" t="n">
        <v>43013</v>
      </c>
      <c r="D34" t="inlineStr">
        <is>
          <t>C</t>
        </is>
      </c>
      <c r="E34" t="n">
        <v>7587</v>
      </c>
      <c r="F34" t="n">
        <v>75870</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B1:F32"/>
  <sheetViews>
    <sheetView showGridLines="1" workbookViewId="0">
      <pane xSplit="1" ySplit="9" topLeftCell="B10"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14" customWidth="1" min="3" max="3"/>
    <col width="12" customWidth="1" min="4" max="4"/>
    <col width="12" customWidth="1" min="5" max="5"/>
    <col width="14" customWidth="1" min="6" max="6"/>
  </cols>
  <sheetData>
    <row r="1" ht="22" customHeight="1">
      <c r="B1" s="1" t="inlineStr">
        <is>
          <t>11  Praxisfall - Zielbild</t>
        </is>
      </c>
    </row>
    <row r="2">
      <c r="B2" s="15" t="inlineStr">
        <is>
          <t>So soll dein Blatt "Ergebnis" am Ende aussehen.</t>
        </is>
      </c>
    </row>
    <row r="4" ht="56" customHeight="1">
      <c r="B4" s="14" t="inlineStr">
        <is>
          <t>Merkmale: Titel verbunden und zentriert, Kopfzeile dunkelblau mit weißer fetter Schrift, Rahmen um alle Datenzellen, Datum als TT.MM.JJJJ, Anzahl und Wert mit Tausenderpunkt, Wert in Euro, Kopfzeile fixiert, Filter aktiv, bereinigte Produktnamen.</t>
        </is>
      </c>
    </row>
    <row r="7">
      <c r="B7" s="37" t="inlineStr">
        <is>
          <t>Datenauszug</t>
        </is>
      </c>
    </row>
    <row r="9">
      <c r="B9" s="11" t="inlineStr">
        <is>
          <t>Jahr</t>
        </is>
      </c>
      <c r="C9" s="11" t="inlineStr">
        <is>
          <t>Datum</t>
        </is>
      </c>
      <c r="D9" s="11" t="inlineStr">
        <is>
          <t>Produkt</t>
        </is>
      </c>
      <c r="E9" s="11" t="inlineStr">
        <is>
          <t>Anzahl</t>
        </is>
      </c>
      <c r="F9" s="11" t="inlineStr">
        <is>
          <t>Wert</t>
        </is>
      </c>
    </row>
    <row r="10">
      <c r="B10" s="17" t="n">
        <v>2019</v>
      </c>
      <c r="C10" s="38" t="n">
        <v>43749</v>
      </c>
      <c r="D10" s="17" t="inlineStr">
        <is>
          <t>A</t>
        </is>
      </c>
      <c r="E10" s="39" t="n">
        <v>5948</v>
      </c>
      <c r="F10" s="40" t="n">
        <v>59480</v>
      </c>
    </row>
    <row r="11">
      <c r="B11" s="17" t="n">
        <v>2019</v>
      </c>
      <c r="C11" s="38" t="n">
        <v>43748</v>
      </c>
      <c r="D11" s="17" t="inlineStr">
        <is>
          <t>A</t>
        </is>
      </c>
      <c r="E11" s="39" t="n">
        <v>4818</v>
      </c>
      <c r="F11" s="40" t="n">
        <v>48180</v>
      </c>
    </row>
    <row r="12">
      <c r="B12" s="17" t="n">
        <v>2019</v>
      </c>
      <c r="C12" s="38" t="n">
        <v>43747</v>
      </c>
      <c r="D12" s="17" t="inlineStr">
        <is>
          <t>A</t>
        </is>
      </c>
      <c r="E12" s="39" t="n">
        <v>4116</v>
      </c>
      <c r="F12" s="40" t="n">
        <v>41160</v>
      </c>
    </row>
    <row r="13">
      <c r="B13" s="17" t="n">
        <v>2019</v>
      </c>
      <c r="C13" s="38" t="n">
        <v>43746</v>
      </c>
      <c r="D13" s="17" t="inlineStr">
        <is>
          <t>A</t>
        </is>
      </c>
      <c r="E13" s="39" t="n">
        <v>4403</v>
      </c>
      <c r="F13" s="40" t="n">
        <v>44030</v>
      </c>
    </row>
    <row r="14">
      <c r="B14" s="17" t="n">
        <v>2019</v>
      </c>
      <c r="C14" s="38" t="n">
        <v>43745</v>
      </c>
      <c r="D14" s="17" t="inlineStr">
        <is>
          <t>A</t>
        </is>
      </c>
      <c r="E14" s="39" t="n">
        <v>4295</v>
      </c>
      <c r="F14" s="40" t="n">
        <v>42950</v>
      </c>
    </row>
    <row r="15">
      <c r="B15" s="17" t="n">
        <v>2019</v>
      </c>
      <c r="C15" s="38" t="n">
        <v>43744</v>
      </c>
      <c r="D15" s="17" t="inlineStr">
        <is>
          <t>A</t>
        </is>
      </c>
      <c r="E15" s="39" t="n">
        <v>5240</v>
      </c>
      <c r="F15" s="40" t="n">
        <v>52400</v>
      </c>
    </row>
    <row r="16">
      <c r="B16" s="17" t="n">
        <v>2019</v>
      </c>
      <c r="C16" s="38" t="n">
        <v>43743</v>
      </c>
      <c r="D16" s="17" t="inlineStr">
        <is>
          <t>A</t>
        </is>
      </c>
      <c r="E16" s="39" t="n">
        <v>6386</v>
      </c>
      <c r="F16" s="40" t="n">
        <v>63860</v>
      </c>
    </row>
    <row r="17">
      <c r="B17" s="17" t="n">
        <v>2019</v>
      </c>
      <c r="C17" s="38" t="n">
        <v>43742</v>
      </c>
      <c r="D17" s="17" t="inlineStr">
        <is>
          <t>A</t>
        </is>
      </c>
      <c r="E17" s="39" t="n">
        <v>2671</v>
      </c>
      <c r="F17" s="40" t="n">
        <v>26710</v>
      </c>
    </row>
    <row r="18">
      <c r="B18" s="17" t="n">
        <v>2019</v>
      </c>
      <c r="C18" s="38" t="n">
        <v>43741</v>
      </c>
      <c r="D18" s="17" t="inlineStr">
        <is>
          <t>A</t>
        </is>
      </c>
      <c r="E18" s="39" t="n">
        <v>1861</v>
      </c>
      <c r="F18" s="40" t="n">
        <v>18610</v>
      </c>
    </row>
    <row r="19">
      <c r="B19" s="17" t="n">
        <v>2018</v>
      </c>
      <c r="C19" s="38" t="n">
        <v>43384</v>
      </c>
      <c r="D19" s="17" t="inlineStr">
        <is>
          <t>B</t>
        </is>
      </c>
      <c r="E19" s="39" t="n">
        <v>8590</v>
      </c>
      <c r="F19" s="40" t="n">
        <v>85900</v>
      </c>
    </row>
    <row r="20">
      <c r="B20" s="17" t="n">
        <v>2018</v>
      </c>
      <c r="C20" s="38" t="n">
        <v>43383</v>
      </c>
      <c r="D20" s="17" t="inlineStr">
        <is>
          <t>B</t>
        </is>
      </c>
      <c r="E20" s="39" t="n">
        <v>3556</v>
      </c>
      <c r="F20" s="40" t="n">
        <v>35560</v>
      </c>
    </row>
    <row r="21">
      <c r="B21" s="17" t="n">
        <v>2018</v>
      </c>
      <c r="C21" s="38" t="n">
        <v>43382</v>
      </c>
      <c r="D21" s="17" t="inlineStr">
        <is>
          <t>B</t>
        </is>
      </c>
      <c r="E21" s="39" t="n">
        <v>8402</v>
      </c>
      <c r="F21" s="40" t="n">
        <v>84020</v>
      </c>
    </row>
    <row r="22">
      <c r="B22" s="17" t="n">
        <v>2018</v>
      </c>
      <c r="C22" s="38" t="n">
        <v>43381</v>
      </c>
      <c r="D22" s="17" t="inlineStr">
        <is>
          <t>B</t>
        </is>
      </c>
      <c r="E22" s="39" t="n">
        <v>7486</v>
      </c>
      <c r="F22" s="40" t="n">
        <v>74860</v>
      </c>
    </row>
    <row r="23">
      <c r="B23" s="17" t="n">
        <v>2018</v>
      </c>
      <c r="C23" s="38" t="n">
        <v>43380</v>
      </c>
      <c r="D23" s="17" t="inlineStr">
        <is>
          <t>B</t>
        </is>
      </c>
      <c r="E23" s="39" t="n">
        <v>3613</v>
      </c>
      <c r="F23" s="40" t="n">
        <v>36130</v>
      </c>
    </row>
    <row r="24">
      <c r="B24" s="17" t="n">
        <v>2018</v>
      </c>
      <c r="C24" s="38" t="n">
        <v>43379</v>
      </c>
      <c r="D24" s="17" t="inlineStr">
        <is>
          <t>B</t>
        </is>
      </c>
      <c r="E24" s="39" t="n">
        <v>5853</v>
      </c>
      <c r="F24" s="40" t="n">
        <v>58530</v>
      </c>
    </row>
    <row r="25">
      <c r="B25" s="17" t="n">
        <v>2018</v>
      </c>
      <c r="C25" s="38" t="n">
        <v>43378</v>
      </c>
      <c r="D25" s="17" t="inlineStr">
        <is>
          <t>B</t>
        </is>
      </c>
      <c r="E25" s="39" t="n">
        <v>7412</v>
      </c>
      <c r="F25" s="40" t="n">
        <v>74120</v>
      </c>
    </row>
    <row r="26">
      <c r="B26" s="17" t="n">
        <v>2017</v>
      </c>
      <c r="C26" s="38" t="n">
        <v>43019</v>
      </c>
      <c r="D26" s="17" t="inlineStr">
        <is>
          <t>C</t>
        </is>
      </c>
      <c r="E26" s="39" t="n">
        <v>2739</v>
      </c>
      <c r="F26" s="40" t="n">
        <v>27390</v>
      </c>
    </row>
    <row r="27">
      <c r="B27" s="17" t="n">
        <v>2017</v>
      </c>
      <c r="C27" s="38" t="n">
        <v>43018</v>
      </c>
      <c r="D27" s="17" t="inlineStr">
        <is>
          <t>C</t>
        </is>
      </c>
      <c r="E27" s="39" t="n">
        <v>2224</v>
      </c>
      <c r="F27" s="40" t="n">
        <v>22240</v>
      </c>
    </row>
    <row r="28">
      <c r="B28" s="17" t="n">
        <v>2017</v>
      </c>
      <c r="C28" s="38" t="n">
        <v>43017</v>
      </c>
      <c r="D28" s="17" t="inlineStr">
        <is>
          <t>C</t>
        </is>
      </c>
      <c r="E28" s="39" t="n">
        <v>5028</v>
      </c>
      <c r="F28" s="40" t="n">
        <v>50280</v>
      </c>
    </row>
    <row r="29">
      <c r="B29" s="17" t="n">
        <v>2017</v>
      </c>
      <c r="C29" s="38" t="n">
        <v>43016</v>
      </c>
      <c r="D29" s="17" t="inlineStr">
        <is>
          <t>C</t>
        </is>
      </c>
      <c r="E29" s="39" t="n">
        <v>1844</v>
      </c>
      <c r="F29" s="40" t="n">
        <v>18440</v>
      </c>
    </row>
    <row r="30">
      <c r="B30" s="17" t="n">
        <v>2017</v>
      </c>
      <c r="C30" s="38" t="n">
        <v>43015</v>
      </c>
      <c r="D30" s="17" t="inlineStr">
        <is>
          <t>C</t>
        </is>
      </c>
      <c r="E30" s="39" t="n">
        <v>8772</v>
      </c>
      <c r="F30" s="40" t="n">
        <v>87720</v>
      </c>
    </row>
    <row r="31">
      <c r="B31" s="17" t="n">
        <v>2017</v>
      </c>
      <c r="C31" s="38" t="n">
        <v>43014</v>
      </c>
      <c r="D31" s="17" t="inlineStr">
        <is>
          <t>C</t>
        </is>
      </c>
      <c r="E31" s="39" t="n">
        <v>6163</v>
      </c>
      <c r="F31" s="40" t="n">
        <v>61630</v>
      </c>
    </row>
    <row r="32">
      <c r="B32" s="17" t="n">
        <v>2017</v>
      </c>
      <c r="C32" s="38" t="n">
        <v>43013</v>
      </c>
      <c r="D32" s="17" t="inlineStr">
        <is>
          <t>C</t>
        </is>
      </c>
      <c r="E32" s="39" t="n">
        <v>7587</v>
      </c>
      <c r="F32" s="40" t="n">
        <v>75870</v>
      </c>
    </row>
  </sheetData>
  <autoFilter ref="B9:F32"/>
  <mergeCells count="1">
    <mergeCell ref="B7:F7"/>
  </mergeCells>
  <pageMargins left="0.75" right="0.75" top="1" bottom="1" header="0.5" footer="0.5"/>
</worksheet>
</file>

<file path=xl/worksheets/sheet13.xml><?xml version="1.0" encoding="utf-8"?>
<worksheet xmlns="http://schemas.openxmlformats.org/spreadsheetml/2006/main">
  <sheetPr>
    <tabColor rgb="007F7F7F"/>
    <outlinePr summaryBelow="1" summaryRight="1"/>
    <pageSetUpPr/>
  </sheetPr>
  <dimension ref="B1:B7"/>
  <sheetViews>
    <sheetView showGridLines="0" workbookViewId="0">
      <selection activeCell="A1" sqref="A1"/>
    </sheetView>
  </sheetViews>
  <sheetFormatPr baseColWidth="8" defaultRowHeight="15"/>
  <cols>
    <col width="2" customWidth="1" min="1" max="1"/>
    <col width="40" customWidth="1" min="2" max="2"/>
  </cols>
  <sheetData>
    <row r="1" ht="22" customHeight="1">
      <c r="B1" s="1" t="inlineStr">
        <is>
          <t>Gut gemacht!</t>
        </is>
      </c>
    </row>
    <row r="2">
      <c r="B2" s="15" t="inlineStr">
        <is>
          <t>Dieses Blatt war ausgeblendet.</t>
        </is>
      </c>
    </row>
    <row r="4">
      <c r="B4" t="inlineStr">
        <is>
          <t>Codewort:</t>
        </is>
      </c>
    </row>
    <row r="5">
      <c r="B5" s="41" t="inlineStr">
        <is>
          <t>REGISTERFARBE</t>
        </is>
      </c>
    </row>
    <row r="7" ht="28" customHeight="1">
      <c r="B7" s="14" t="inlineStr">
        <is>
          <t>Du kannst dieses Blatt jetzt wieder ausblenden: Rechtsklick auf das Register - Ausblenden.</t>
        </is>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B1:D30"/>
  <sheetViews>
    <sheetView showGridLines="0" workbookViewId="0">
      <selection activeCell="A1" sqref="A1"/>
    </sheetView>
  </sheetViews>
  <sheetFormatPr baseColWidth="8" defaultRowHeight="15"/>
  <cols>
    <col width="2" customWidth="1" min="1" max="1"/>
    <col width="30" customWidth="1" min="2" max="2"/>
    <col width="34" customWidth="1" min="3" max="3"/>
    <col width="100" customWidth="1" min="4" max="4"/>
  </cols>
  <sheetData>
    <row r="1" ht="22" customHeight="1">
      <c r="B1" s="1" t="inlineStr">
        <is>
          <t>Lösungen</t>
        </is>
      </c>
    </row>
    <row r="2">
      <c r="B2" s="15" t="inlineStr">
        <is>
          <t>Nur nachsehen, wenn du wirklich nicht weiterkommst!</t>
        </is>
      </c>
    </row>
    <row r="4">
      <c r="B4" s="11" t="inlineStr">
        <is>
          <t>Arbeitsblatt</t>
        </is>
      </c>
      <c r="C4" s="11" t="inlineStr">
        <is>
          <t>Aufgabe</t>
        </is>
      </c>
      <c r="D4" s="11" t="inlineStr">
        <is>
          <t>Lösung</t>
        </is>
      </c>
    </row>
    <row r="5" ht="13" customHeight="1">
      <c r="B5" s="42" t="inlineStr">
        <is>
          <t>1 Blätter</t>
        </is>
      </c>
      <c r="C5" s="13" t="inlineStr">
        <is>
          <t>Codewort</t>
        </is>
      </c>
      <c r="D5" s="43" t="inlineStr">
        <is>
          <t>REGISTERFARBE - steht auf dem ausgeblendeten Blatt "Versteckt"</t>
        </is>
      </c>
    </row>
    <row r="6" ht="13" customHeight="1">
      <c r="B6" s="42" t="inlineStr">
        <is>
          <t>2 Einfügen</t>
        </is>
      </c>
      <c r="C6" s="13" t="inlineStr">
        <is>
          <t>Werte einfügen</t>
        </is>
      </c>
      <c r="D6" s="43" t="inlineStr">
        <is>
          <t>Kopieren - Rechtsklick - Einfügeoptionen - Werte (123)</t>
        </is>
      </c>
    </row>
    <row r="7" ht="13" customHeight="1">
      <c r="B7" s="42" t="inlineStr"/>
      <c r="C7" s="13" t="inlineStr">
        <is>
          <t>Transponieren</t>
        </is>
      </c>
      <c r="D7" s="43" t="inlineStr">
        <is>
          <t>Kopieren - Rechtsklick - Einfügeoptionen - Transponieren</t>
        </is>
      </c>
    </row>
    <row r="8" ht="13" customHeight="1">
      <c r="B8" s="42" t="inlineStr"/>
      <c r="C8" s="13" t="inlineStr">
        <is>
          <t>Verknüpfung</t>
        </is>
      </c>
      <c r="D8" s="43" t="inlineStr">
        <is>
          <t>Kopieren - Rechtsklick - Inhalte einfügen - Verknüpfung einfügen</t>
        </is>
      </c>
    </row>
    <row r="9" ht="13" customHeight="1">
      <c r="B9" s="42" t="inlineStr">
        <is>
          <t>3 Verknüpfen</t>
        </is>
      </c>
      <c r="C9" s="13" t="inlineStr">
        <is>
          <t>Bezug auf anderes Blatt</t>
        </is>
      </c>
      <c r="D9" s="43" t="inlineStr">
        <is>
          <t>='2 Einfügen'!E&lt;Zeile&gt;   bzw.  =SUMME('2 Einfügen'!E..:E..)</t>
        </is>
      </c>
    </row>
    <row r="10" ht="13" customHeight="1">
      <c r="B10" s="42" t="inlineStr"/>
      <c r="C10" s="13" t="inlineStr">
        <is>
          <t>Bezug auf andere Mappe</t>
        </is>
      </c>
      <c r="D10" s="43" t="inlineStr">
        <is>
          <t>=[02_DataCleanUp_Extern.xlsx]Kennzahlen!$B$4   -&gt;  4711</t>
        </is>
      </c>
    </row>
    <row r="11" ht="13" customHeight="1">
      <c r="B11" s="42" t="inlineStr">
        <is>
          <t>4 Formatierung</t>
        </is>
      </c>
      <c r="C11" s="13" t="inlineStr">
        <is>
          <t>Hoch-/Tiefstellen</t>
        </is>
      </c>
      <c r="D11" s="43" t="inlineStr">
        <is>
          <t>Zelle mit F2 öffnen, Zeichen markieren, Rechtsklick - Zellen formatieren - Hoch-/Tiefgestellt</t>
        </is>
      </c>
    </row>
    <row r="12" ht="13" customHeight="1">
      <c r="B12" s="42" t="inlineStr"/>
      <c r="C12" s="13" t="inlineStr">
        <is>
          <t>Format übertragen</t>
        </is>
      </c>
      <c r="D12" s="43" t="inlineStr">
        <is>
          <t>Start - Zwischenablage - Format übertragen (Doppelklick = mehrfach)</t>
        </is>
      </c>
    </row>
    <row r="13" ht="13" customHeight="1">
      <c r="B13" s="42" t="inlineStr">
        <is>
          <t>5 Ausrichtung</t>
        </is>
      </c>
      <c r="C13" s="13" t="inlineStr">
        <is>
          <t>Zeilenumbruch in der Zelle</t>
        </is>
      </c>
      <c r="D13" s="43" t="inlineStr">
        <is>
          <t>ALT + ENTER während der Eingabe</t>
        </is>
      </c>
    </row>
    <row r="14" ht="13" customHeight="1">
      <c r="B14" s="42" t="inlineStr"/>
      <c r="C14" s="13" t="inlineStr">
        <is>
          <t>Zentrieren ohne Verbinden</t>
        </is>
      </c>
      <c r="D14" s="43" t="inlineStr">
        <is>
          <t>Zellen formatieren - Ausrichtung - Horizontal - Über Auswahl zentrieren</t>
        </is>
      </c>
    </row>
    <row r="15" ht="13" customHeight="1">
      <c r="B15" s="42" t="inlineStr">
        <is>
          <t>6 Suchen+Ersetzen</t>
        </is>
      </c>
      <c r="C15" s="13" t="inlineStr">
        <is>
          <t>Ersetzen</t>
        </is>
      </c>
      <c r="D15" s="43" t="inlineStr">
        <is>
          <t>STRG + H  -&gt;  Lintz durch Linz, Alle ersetzen</t>
        </is>
      </c>
    </row>
    <row r="16" ht="13" customHeight="1">
      <c r="B16" s="42" t="inlineStr"/>
      <c r="C16" s="13" t="inlineStr">
        <is>
          <t>Alle Treffer markieren</t>
        </is>
      </c>
      <c r="D16" s="43" t="inlineStr">
        <is>
          <t>STRG + F - Alle suchen - in der Liste STRG + A</t>
        </is>
      </c>
    </row>
    <row r="17" ht="13" customHeight="1">
      <c r="B17" s="42" t="inlineStr"/>
      <c r="C17" s="13" t="inlineStr">
        <is>
          <t>Höchster Umsatz</t>
        </is>
      </c>
      <c r="D17" s="43" t="inlineStr">
        <is>
          <t>8100</t>
        </is>
      </c>
    </row>
    <row r="18" ht="26" customHeight="1">
      <c r="B18" s="42" t="inlineStr">
        <is>
          <t>7 Wildcards</t>
        </is>
      </c>
      <c r="C18" s="13" t="inlineStr">
        <is>
          <t>Zählen mit Wildcards</t>
        </is>
      </c>
      <c r="D18" s="43" t="inlineStr">
        <is>
          <t>=ZÄHLENWENN($B$x:$B$y;"?") = 2 | "???" = 4 | "*th" = 2 | "c*" = 5 | "???-??" = 2 | "*~?" = 1 | "*xyz*" = 3</t>
        </is>
      </c>
    </row>
    <row r="19" ht="13" customHeight="1">
      <c r="B19" s="42" t="inlineStr">
        <is>
          <t>8 Ausfüllen+Fixieren</t>
        </is>
      </c>
      <c r="C19" s="13" t="inlineStr">
        <is>
          <t>Reihe fortsetzen</t>
        </is>
      </c>
      <c r="D19" s="43" t="inlineStr">
        <is>
          <t>Beide Startwerte markieren, dann am Ausfüllkästchen ziehen</t>
        </is>
      </c>
    </row>
    <row r="20" ht="13" customHeight="1">
      <c r="B20" s="42" t="inlineStr"/>
      <c r="C20" s="13" t="inlineStr">
        <is>
          <t>Fenster fixieren</t>
        </is>
      </c>
      <c r="D20" s="43" t="inlineStr">
        <is>
          <t>Zelle E25 anklicken - Ansicht - Fenster fixieren - Fenster fixieren</t>
        </is>
      </c>
    </row>
    <row r="21" ht="13" customHeight="1">
      <c r="B21" s="42" t="inlineStr">
        <is>
          <t>9 Zahlenformate</t>
        </is>
      </c>
      <c r="C21" s="13" t="inlineStr">
        <is>
          <t>Einheit anhängen</t>
        </is>
      </c>
      <c r="D21" s="43" t="inlineStr">
        <is>
          <t>Benutzerdefiniert:  #.##0,00 "mm"</t>
        </is>
      </c>
    </row>
    <row r="22" ht="13" customHeight="1">
      <c r="B22" s="42" t="inlineStr"/>
      <c r="C22" s="13" t="inlineStr">
        <is>
          <t>Einzahl / Mehrzahl</t>
        </is>
      </c>
      <c r="D22" s="43" t="inlineStr">
        <is>
          <t>Benutzerdefiniert:  [=1]0 "Stück";#.##0 "Stücke"</t>
        </is>
      </c>
    </row>
    <row r="23" ht="13" customHeight="1">
      <c r="B23" s="42" t="inlineStr"/>
      <c r="C23" s="13" t="inlineStr">
        <is>
          <t>Zahl hinter dem Datum</t>
        </is>
      </c>
      <c r="D23" s="43" t="inlineStr">
        <is>
          <t>01.03.2024 entspricht der Zahl 45352</t>
        </is>
      </c>
    </row>
    <row r="24" ht="13" customHeight="1">
      <c r="B24" s="42" t="inlineStr"/>
      <c r="C24" s="13" t="inlineStr">
        <is>
          <t>Dauer</t>
        </is>
      </c>
      <c r="D24" s="43" t="inlineStr">
        <is>
          <t>=C22-C21, formatiert als hh:mm  -&gt;  08:15</t>
        </is>
      </c>
    </row>
    <row r="25" ht="26" customHeight="1">
      <c r="B25" s="42" t="inlineStr">
        <is>
          <t>10/11 Praxisfall</t>
        </is>
      </c>
      <c r="C25" s="13" t="inlineStr">
        <is>
          <t>Blatt kopieren</t>
        </is>
      </c>
      <c r="D25" s="43" t="inlineStr">
        <is>
          <t>Rechtsklick auf das Register - Verschieben oder Kopieren - Kopie erstellen - umbenennen auf Ergebnis - Registerfarbe Rot</t>
        </is>
      </c>
    </row>
    <row r="26" ht="26" customHeight="1">
      <c r="B26" s="42" t="inlineStr"/>
      <c r="C26" s="13" t="inlineStr">
        <is>
          <t>Produktnamen bereinigen</t>
        </is>
      </c>
      <c r="D26" s="43" t="inlineStr">
        <is>
          <t>Suchen und Ersetzen: "AA" durch "A", "BB" durch "B", "CC" durch "C"; Leerzeichen mit Suchen/Ersetzen entfernen</t>
        </is>
      </c>
    </row>
    <row r="27" ht="26" customHeight="1">
      <c r="B27" s="42" t="inlineStr"/>
      <c r="C27" s="13" t="inlineStr">
        <is>
          <t>Zahl als Text</t>
        </is>
      </c>
      <c r="D27" s="43" t="inlineStr">
        <is>
          <t>7412 steht als Text in der Zelle - links ausgerichtet. Über das Warndreieck "In eine Zahl umwandeln"</t>
        </is>
      </c>
    </row>
    <row r="28" ht="13" customHeight="1">
      <c r="B28" s="42" t="inlineStr"/>
      <c r="C28" s="13" t="inlineStr">
        <is>
          <t>Fehlerwert</t>
        </is>
      </c>
      <c r="D28" s="43" t="inlineStr">
        <is>
          <t>=7486/0 liefert #DIV/0! - durch den korrekten Wert 7486 ersetzen</t>
        </is>
      </c>
    </row>
    <row r="29" ht="13" customHeight="1">
      <c r="B29" s="42" t="inlineStr"/>
      <c r="C29" s="13" t="inlineStr">
        <is>
          <t>Jahr 2 0 1 8</t>
        </is>
      </c>
      <c r="D29" s="43" t="inlineStr">
        <is>
          <t>Leerzeichen mit Suchen und Ersetzen entfernen (Suchen nach " ", Ersetzen durch nichts)</t>
        </is>
      </c>
    </row>
    <row r="30" ht="13" customHeight="1">
      <c r="B30" s="42" t="inlineStr"/>
      <c r="C30" s="13" t="inlineStr">
        <is>
          <t>Kopfzeile fixieren</t>
        </is>
      </c>
      <c r="D30" s="43" t="inlineStr">
        <is>
          <t>Zelle unterhalb der Kopfzeile anklicken - Ansicht - Fenster fixieren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2026-08-21T07:27:57Z</dcterms:created>
  <dcterms:modified xsi:type="dcterms:W3CDTF">2026-08-21T07:27:57Z</dcterms:modified>
</cp:coreProperties>
</file>