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1 Oberfläche" sheetId="2" state="visible" r:id="rId2"/>
    <sheet name="2 Markieren" sheetId="3" state="visible" r:id="rId3"/>
    <sheet name="3 Dateneingabe" sheetId="4" state="visible" r:id="rId4"/>
    <sheet name="4 Zeilen+Spalten" sheetId="5" state="visible" r:id="rId5"/>
    <sheet name="5 Navigation" sheetId="6" state="visible" r:id="rId6"/>
    <sheet name="6 Rechenoperatoren" sheetId="7" state="visible" r:id="rId7"/>
    <sheet name="7 Vergleichsoperat." sheetId="8" state="visible" r:id="rId8"/>
    <sheet name="8 Zellbezüge" sheetId="9" state="visible" r:id="rId9"/>
    <sheet name="9 Namen" sheetId="10" state="visible" r:id="rId10"/>
    <sheet name="10 Funktionen" sheetId="11" state="visible" r:id="rId11"/>
    <sheet name="11 Praxisfall" sheetId="12" state="visible" r:id="rId12"/>
    <sheet name="Lösunge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####"/>
    <numFmt numFmtId="165" formatCode="0.0%"/>
    <numFmt numFmtId="166" formatCode="0.00000"/>
  </numFmts>
  <fonts count="10">
    <font>
      <name val="Calibri"/>
      <family val="2"/>
      <color theme="1"/>
      <sz val="11"/>
      <scheme val="minor"/>
    </font>
    <font>
      <b val="1"/>
      <color rgb="001F4E79"/>
      <sz val="16"/>
    </font>
    <font>
      <sz val="11"/>
    </font>
    <font>
      <b val="1"/>
      <color rgb="002E75B6"/>
      <sz val="12"/>
    </font>
    <font>
      <b val="1"/>
      <color rgb="00FFFFFF"/>
      <sz val="11"/>
    </font>
    <font>
      <b val="1"/>
    </font>
    <font>
      <i val="1"/>
      <color rgb="00595959"/>
      <sz val="10"/>
    </font>
    <font>
      <b val="1"/>
      <color rgb="00000000"/>
      <sz val="11"/>
    </font>
    <font>
      <color rgb="00375623"/>
      <sz val="10"/>
    </font>
    <font>
      <name val="Consolas"/>
      <sz val="10"/>
    </font>
  </fonts>
  <fills count="11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FFC7CE"/>
      </patternFill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8" borderId="2" applyAlignment="1" pivotButton="0" quotePrefix="0" xfId="0">
      <alignment horizontal="center" vertical="center" wrapText="1"/>
    </xf>
    <xf numFmtId="0" fontId="5" fillId="0" borderId="2" pivotButton="0" quotePrefix="0" xfId="0"/>
    <xf numFmtId="0" fontId="0" fillId="0" borderId="2" pivotButton="0" quotePrefix="0" xfId="0"/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  <xf numFmtId="0" fontId="0" fillId="3" borderId="2" pivotButton="0" quotePrefix="0" xfId="0"/>
    <xf numFmtId="3" fontId="0" fillId="2" borderId="1" pivotButton="0" quotePrefix="0" xfId="0"/>
    <xf numFmtId="164" fontId="0" fillId="2" borderId="1" pivotButton="0" quotePrefix="0" xfId="0"/>
    <xf numFmtId="0" fontId="5" fillId="9" borderId="2" pivotButton="0" quotePrefix="0" xfId="0"/>
    <xf numFmtId="3" fontId="0" fillId="3" borderId="2" pivotButton="0" quotePrefix="0" xfId="0"/>
    <xf numFmtId="0" fontId="5" fillId="0" borderId="0" pivotButton="0" quotePrefix="0" xfId="0"/>
    <xf numFmtId="0" fontId="0" fillId="2" borderId="2" pivotButton="0" quotePrefix="0" xfId="0"/>
    <xf numFmtId="0" fontId="8" fillId="0" borderId="0" pivotButton="0" quotePrefix="0" xfId="0"/>
    <xf numFmtId="0" fontId="5" fillId="10" borderId="0" pivotButton="0" quotePrefix="0" xfId="0"/>
    <xf numFmtId="4" fontId="0" fillId="3" borderId="2" pivotButton="0" quotePrefix="0" xfId="0"/>
    <xf numFmtId="9" fontId="0" fillId="3" borderId="2" pivotButton="0" quotePrefix="0" xfId="0"/>
    <xf numFmtId="4" fontId="0" fillId="2" borderId="1" pivotButton="0" quotePrefix="0" xfId="0"/>
    <xf numFmtId="0" fontId="6" fillId="0" borderId="2" pivotButton="0" quotePrefix="0" xfId="0"/>
    <xf numFmtId="165" fontId="0" fillId="2" borderId="1" pivotButton="0" quotePrefix="0" xfId="0"/>
    <xf numFmtId="9" fontId="4" fillId="8" borderId="2" applyAlignment="1" pivotButton="0" quotePrefix="0" xfId="0">
      <alignment horizontal="center"/>
    </xf>
    <xf numFmtId="4" fontId="5" fillId="3" borderId="2" pivotButton="0" quotePrefix="0" xfId="0"/>
    <xf numFmtId="0" fontId="0" fillId="5" borderId="2" pivotButton="0" quotePrefix="0" xfId="0"/>
    <xf numFmtId="0" fontId="5" fillId="3" borderId="2" pivotButton="0" quotePrefix="0" xfId="0"/>
    <xf numFmtId="166" fontId="0" fillId="2" borderId="1" pivotButton="0" quotePrefix="0" xfId="0"/>
    <xf numFmtId="0" fontId="9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1:C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5" customWidth="1" min="2" max="2"/>
    <col width="78" customWidth="1" min="3" max="3"/>
  </cols>
  <sheetData>
    <row r="1" ht="22" customHeight="1">
      <c r="B1" s="1" t="inlineStr">
        <is>
          <t>Übung 01  -  Grundlagen in Excel</t>
        </is>
      </c>
    </row>
    <row r="4" ht="56" customHeight="1">
      <c r="B4" s="2" t="inlineStr">
        <is>
          <t>Diese Arbeitsmappe begleitet das Kapitel "Grundlagen" des Data Campus. Jedes Arbeitsblatt entspricht einem Abschnitt des Kapitels - arbeite dich einfach von links nach rechts durch die Register am unteren Rand.</t>
        </is>
      </c>
    </row>
    <row r="6">
      <c r="B6" s="3" t="inlineStr">
        <is>
          <t>So arbeitest du mit der Datei</t>
        </is>
      </c>
    </row>
    <row r="7" ht="14" customHeight="1">
      <c r="B7" s="2" t="inlineStr">
        <is>
          <t>1.  Lies die Aufgabe in Spalte B.</t>
        </is>
      </c>
    </row>
    <row r="8" ht="14" customHeight="1">
      <c r="B8" s="2" t="inlineStr">
        <is>
          <t>2.  Trage deine Lösung in die gelb hinterlegte Zelle ein.</t>
        </is>
      </c>
    </row>
    <row r="9" ht="28" customHeight="1">
      <c r="B9" s="2" t="inlineStr">
        <is>
          <t>3.  Rechts daneben steht eine Kontrollspalte - sie prüft deine Eingabe automatisch.</t>
        </is>
      </c>
    </row>
    <row r="10" ht="28" customHeight="1">
      <c r="B10" s="2" t="inlineStr">
        <is>
          <t>4.  Bei Aufgaben ohne Kontrolle (z. B. Spalte ausblenden) siehst du das Ergebnis direkt am Bildschirm.</t>
        </is>
      </c>
    </row>
    <row r="11" ht="28" customHeight="1">
      <c r="B11" s="2" t="inlineStr">
        <is>
          <t>5.  Wenn du nicht weiterkommst: das Arbeitsblatt "Lösungen" ganz rechts zeigt alle Formeln.</t>
        </is>
      </c>
    </row>
    <row r="13">
      <c r="B13" s="3" t="inlineStr">
        <is>
          <t>Legende</t>
        </is>
      </c>
    </row>
    <row r="14">
      <c r="B14" s="4" t="inlineStr"/>
      <c r="C14" s="5" t="inlineStr">
        <is>
          <t>Hier bist du dran - Wert oder Formel eintragen</t>
        </is>
      </c>
    </row>
    <row r="15">
      <c r="B15" s="6" t="inlineStr"/>
      <c r="C15" s="5" t="inlineStr">
        <is>
          <t>Vorgegebene Daten - nicht verändern</t>
        </is>
      </c>
    </row>
    <row r="16">
      <c r="B16" s="7" t="inlineStr"/>
      <c r="C16" s="5" t="inlineStr">
        <is>
          <t>Startpunkt / Quelle einer Aktion</t>
        </is>
      </c>
    </row>
    <row r="17">
      <c r="B17" s="8" t="inlineStr"/>
      <c r="C17" s="5" t="inlineStr">
        <is>
          <t>Zielbereich einer Aktion</t>
        </is>
      </c>
    </row>
    <row r="18">
      <c r="B18" s="9" t="inlineStr"/>
      <c r="C18" s="5" t="inlineStr">
        <is>
          <t>Markierung für Zeilen- und Spalten-Übungen</t>
        </is>
      </c>
    </row>
    <row r="19">
      <c r="B19" s="10" t="inlineStr"/>
      <c r="C19" s="5" t="inlineStr">
        <is>
          <t>Dieser Bereich soll gelöscht werden</t>
        </is>
      </c>
    </row>
    <row r="21">
      <c r="B21" s="3" t="inlineStr">
        <is>
          <t>Inhalt der Übung</t>
        </is>
      </c>
    </row>
    <row r="22">
      <c r="B22" s="11" t="inlineStr">
        <is>
          <t>Arbeitsblatt</t>
        </is>
      </c>
      <c r="C22" s="11" t="inlineStr">
        <is>
          <t>Inhalt</t>
        </is>
      </c>
    </row>
    <row r="23">
      <c r="B23" s="12" t="inlineStr">
        <is>
          <t>1 Oberfläche</t>
        </is>
      </c>
      <c r="C23" s="13" t="inlineStr">
        <is>
          <t>Aufbau von Excel, Benutzeroberfläche, Schnellzugriff, Statusleiste, Speichern</t>
        </is>
      </c>
    </row>
    <row r="24">
      <c r="B24" s="12" t="inlineStr">
        <is>
          <t>2 Markieren</t>
        </is>
      </c>
      <c r="C24" s="13" t="inlineStr">
        <is>
          <t>Zellen, Bereiche, Zeilen, Spalten und Arbeitsblätter selektieren</t>
        </is>
      </c>
    </row>
    <row r="25">
      <c r="B25" s="12" t="inlineStr">
        <is>
          <t>3 Dateneingabe</t>
        </is>
      </c>
      <c r="C25" s="13" t="inlineStr">
        <is>
          <t>Zahlen, Text und Wahrheitswerte eingeben, überschreiben, ergänzen</t>
        </is>
      </c>
    </row>
    <row r="26">
      <c r="B26" s="12" t="inlineStr">
        <is>
          <t>4 Zeilen+Spalten</t>
        </is>
      </c>
      <c r="C26" s="13" t="inlineStr">
        <is>
          <t>Einfügen, löschen, aus-/einblenden, Breite und Höhe anpassen</t>
        </is>
      </c>
    </row>
    <row r="27">
      <c r="B27" s="12" t="inlineStr">
        <is>
          <t>5 Navigation</t>
        </is>
      </c>
      <c r="C27" s="13" t="inlineStr">
        <is>
          <t>Springen mit STRG + Pfeiltasten, POS1, ENDE, Namensfeld, Blattwechsel</t>
        </is>
      </c>
    </row>
    <row r="28">
      <c r="B28" s="12" t="inlineStr">
        <is>
          <t>6 Rechenoperatoren</t>
        </is>
      </c>
      <c r="C28" s="13" t="inlineStr">
        <is>
          <t>Grundrechenarten, Potenz, Wurzel, Klammern, Formeln anzeigen</t>
        </is>
      </c>
    </row>
    <row r="29">
      <c r="B29" s="12" t="inlineStr">
        <is>
          <t>7 Vergleichsoperat.</t>
        </is>
      </c>
      <c r="C29" s="13" t="inlineStr">
        <is>
          <t>Vergleiche und Wahrheitswerte</t>
        </is>
      </c>
    </row>
    <row r="30">
      <c r="B30" s="12" t="inlineStr">
        <is>
          <t>8 Zellbezüge</t>
        </is>
      </c>
      <c r="C30" s="13" t="inlineStr">
        <is>
          <t>relativ, absolut und gemischt - mit F4</t>
        </is>
      </c>
    </row>
    <row r="31">
      <c r="B31" s="12" t="inlineStr">
        <is>
          <t>9 Namen</t>
        </is>
      </c>
      <c r="C31" s="13" t="inlineStr">
        <is>
          <t>Zellen und Bereiche benennen und in Formeln verwenden</t>
        </is>
      </c>
    </row>
    <row r="32">
      <c r="B32" s="12" t="inlineStr">
        <is>
          <t>10 Funktionen</t>
        </is>
      </c>
      <c r="C32" s="13" t="inlineStr">
        <is>
          <t>SUMME, MITTELWERT, MIN, MAX, ANZAHL, PI und der Funktionsassistent</t>
        </is>
      </c>
    </row>
    <row r="33">
      <c r="B33" s="12" t="inlineStr">
        <is>
          <t>11 Praxisfall</t>
        </is>
      </c>
      <c r="C33" s="13" t="inlineStr">
        <is>
          <t>Abschlussaufgabe: alles zusammen an einem realen Beispiel</t>
        </is>
      </c>
    </row>
    <row r="36" ht="28" customHeight="1">
      <c r="B36" s="14" t="inlineStr">
        <is>
          <t>Viel Erfolg! Alle Shortcuts, die du hier brauchst, findest du im Kapitel "Grundlagen" auf dem Data Campus.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B1:I42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26" customWidth="1" min="3" max="3"/>
    <col width="34" customWidth="1" min="4" max="4"/>
  </cols>
  <sheetData>
    <row r="1" ht="22" customHeight="1">
      <c r="B1" s="1" t="inlineStr">
        <is>
          <t>1  Aufbau und Benutzeroberfläche</t>
        </is>
      </c>
    </row>
    <row r="2">
      <c r="B2" s="15" t="inlineStr">
        <is>
          <t>Kapitel: Hierarchischer Aufbau von Excel / Benutzeroberfläche / Datei öffnen, speichern und schließen</t>
        </is>
      </c>
    </row>
    <row r="4" ht="30" customHeight="1">
      <c r="B4" s="16" t="inlineStr">
        <is>
          <t>Aufgabe 1:  Trage die Hierarchie von Excel ein - beginne mit der kleinsten Einheit.</t>
        </is>
      </c>
    </row>
    <row r="5" ht="28" customHeight="1">
      <c r="B5" s="14" t="inlineStr">
        <is>
          <t>Tipp: Zellen - Zeilen &amp; Spalten - Arbeitsblatt - Arbeitsmappe - Excel-Applikation</t>
        </is>
      </c>
    </row>
    <row r="6">
      <c r="B6" s="11" t="inlineStr">
        <is>
          <t>Ebene</t>
        </is>
      </c>
      <c r="C6" s="11" t="inlineStr">
        <is>
          <t>Bezeichnung</t>
        </is>
      </c>
      <c r="D6" s="11" t="inlineStr">
        <is>
          <t>Kontrolle</t>
        </is>
      </c>
    </row>
    <row r="7">
      <c r="B7" s="13" t="inlineStr">
        <is>
          <t>1. kleinste Einheit</t>
        </is>
      </c>
      <c r="C7" s="4" t="n"/>
      <c r="D7" s="17">
        <f>IF(C7="","Kontrolle",IF(C7="Zellen","OK - richtig","noch nicht richtig"))</f>
        <v/>
      </c>
    </row>
    <row r="8">
      <c r="B8" s="13" t="inlineStr">
        <is>
          <t>2. Ebene</t>
        </is>
      </c>
      <c r="C8" s="4" t="n"/>
      <c r="D8" s="17">
        <f>IF(C8="","Kontrolle",IF(C8="Zeilen &amp; Spalten","OK - richtig","noch nicht richtig"))</f>
        <v/>
      </c>
    </row>
    <row r="9">
      <c r="B9" s="13" t="inlineStr">
        <is>
          <t>3. Ebene</t>
        </is>
      </c>
      <c r="C9" s="4" t="n"/>
      <c r="D9" s="17">
        <f>IF(C9="","Kontrolle",IF(C9="Arbeitsblatt","OK - richtig","noch nicht richtig"))</f>
        <v/>
      </c>
    </row>
    <row r="10">
      <c r="B10" s="13" t="inlineStr">
        <is>
          <t>4. Ebene</t>
        </is>
      </c>
      <c r="C10" s="4" t="n"/>
      <c r="D10" s="17">
        <f>IF(C10="","Kontrolle",IF(C10="Arbeitsmappe","OK - richtig","noch nicht richtig"))</f>
        <v/>
      </c>
    </row>
    <row r="11">
      <c r="B11" s="13" t="inlineStr">
        <is>
          <t>5. Ebene</t>
        </is>
      </c>
      <c r="C11" s="4" t="n"/>
      <c r="D11" s="17">
        <f>IF(C11="","Kontrolle",IF(C11="Excel-Applikation","OK - richtig","noch nicht richtig"))</f>
        <v/>
      </c>
    </row>
    <row r="13" ht="15" customHeight="1">
      <c r="B13" s="16" t="inlineStr">
        <is>
          <t>Aufgabe 2:  Ordne den englischen Fachbegriffen die deutsche Bezeichnung zu.</t>
        </is>
      </c>
    </row>
    <row r="14" ht="28" customHeight="1">
      <c r="B14" s="14" t="inlineStr">
        <is>
          <t>Tipp: Alle Begriffe findest du in der Grafik "Benutzeroberfläche" im Kapitel.</t>
        </is>
      </c>
    </row>
    <row r="15">
      <c r="B15" s="11" t="inlineStr">
        <is>
          <t>Englisch</t>
        </is>
      </c>
      <c r="C15" s="11" t="inlineStr">
        <is>
          <t>Deutsch</t>
        </is>
      </c>
      <c r="D15" s="11" t="inlineStr">
        <is>
          <t>Kontrolle</t>
        </is>
      </c>
    </row>
    <row r="16">
      <c r="B16" s="18" t="inlineStr">
        <is>
          <t>Ribbon</t>
        </is>
      </c>
      <c r="C16" s="4" t="n"/>
      <c r="D16" s="17">
        <f>IF(C16="","Kontrolle",IF(C16="Menüband","OK - richtig","noch nicht richtig"))</f>
        <v/>
      </c>
    </row>
    <row r="17">
      <c r="B17" s="18" t="inlineStr">
        <is>
          <t>Formula Bar</t>
        </is>
      </c>
      <c r="C17" s="4" t="n"/>
      <c r="D17" s="17">
        <f>IF(C17="","Kontrolle",IF(C17="Bearbeitungsleiste","OK - richtig","noch nicht richtig"))</f>
        <v/>
      </c>
    </row>
    <row r="18">
      <c r="B18" s="18" t="inlineStr">
        <is>
          <t>Status Bar</t>
        </is>
      </c>
      <c r="C18" s="4" t="n"/>
      <c r="D18" s="17">
        <f>IF(C18="","Kontrolle",IF(C18="Statusleiste","OK - richtig","noch nicht richtig"))</f>
        <v/>
      </c>
    </row>
    <row r="19">
      <c r="B19" s="18" t="inlineStr">
        <is>
          <t>Quick Access Toolbar</t>
        </is>
      </c>
      <c r="C19" s="4" t="n"/>
      <c r="D19" s="17">
        <f>IF(C19="","Kontrolle",IF(C19="Schnellzugriff","OK - richtig","noch nicht richtig"))</f>
        <v/>
      </c>
    </row>
    <row r="20">
      <c r="B20" s="18" t="inlineStr">
        <is>
          <t>Worksheet</t>
        </is>
      </c>
      <c r="C20" s="4" t="n"/>
      <c r="D20" s="17">
        <f>IF(C20="","Kontrolle",IF(C20="Arbeitsblatt","OK - richtig","noch nicht richtig"))</f>
        <v/>
      </c>
    </row>
    <row r="21">
      <c r="B21" s="18" t="inlineStr">
        <is>
          <t>Workbook</t>
        </is>
      </c>
      <c r="C21" s="4" t="n"/>
      <c r="D21" s="17">
        <f>IF(C21="","Kontrolle",IF(C21="Arbeitsmappe","OK - richtig","noch nicht richtig"))</f>
        <v/>
      </c>
    </row>
    <row r="23" ht="15" customHeight="1">
      <c r="B23" s="16" t="inlineStr">
        <is>
          <t>Aufgabe 3:  Wie viele Zeilen und Spalten hat ein modernes Excel-Arbeitsblatt?</t>
        </is>
      </c>
    </row>
    <row r="24" ht="28" customHeight="1">
      <c r="B24" s="14" t="inlineStr">
        <is>
          <t>Tipp: Springe mit STRG + ENDE in einem leeren Blatt ganz nach unten rechts - oder sieh im Kapitel nach.</t>
        </is>
      </c>
    </row>
    <row r="25">
      <c r="B25" s="13" t="inlineStr">
        <is>
          <t>Anzahl Zeilen</t>
        </is>
      </c>
      <c r="C25" s="19" t="n"/>
      <c r="D25" s="17">
        <f>IF(C25="","Kontrolle",IF(C25=1048576,"OK - richtig","noch nicht richtig"))</f>
        <v/>
      </c>
    </row>
    <row r="26">
      <c r="B26" s="13" t="inlineStr">
        <is>
          <t>Anzahl Spalten</t>
        </is>
      </c>
      <c r="C26" s="19" t="n"/>
      <c r="D26" s="17">
        <f>IF(C26="","Kontrolle",IF(C26=16384,"OK - richtig","noch nicht richtig"))</f>
        <v/>
      </c>
    </row>
    <row r="27">
      <c r="B27" s="13" t="inlineStr">
        <is>
          <t>Buchstabe der letzten Spalte</t>
        </is>
      </c>
      <c r="C27" s="4" t="n"/>
      <c r="D27" s="17">
        <f>IF(C27="","Kontrolle",IF(EXACT(C27,"XFD"),"OK - richtig","noch nicht richtig"))</f>
        <v/>
      </c>
    </row>
    <row r="29" ht="45" customHeight="1">
      <c r="B29" s="16" t="inlineStr">
        <is>
          <t>Aufgabe 4:  Blende die Symbolleiste für den Schnellzugriff ein und lege dort drei Befehle deiner Wahl ab (z. B. Rückgängig, Formeln anzeigen, Druckvorschau).</t>
        </is>
      </c>
    </row>
    <row r="30" ht="28" customHeight="1">
      <c r="B30" s="14" t="inlineStr">
        <is>
          <t>Tipp: Rechtsklick auf ein Symbol im Menüband - "Zu Symbolleiste für den Schnellzugriff hinzufügen". Diese Aufgabe wird nicht automatisch geprüft.</t>
        </is>
      </c>
    </row>
    <row r="32" ht="45" customHeight="1">
      <c r="B32" s="16" t="inlineStr">
        <is>
          <t>Aufgabe 5:  Statusleiste: Blende per Rechtsklick auf die Statusleiste "Mittelwert", "Anzahl" und "Summe" ein. Markiere danach den grauen Zahlenbereich und lies die Werte unten rechts ab - ohne eine einzige Formel!</t>
        </is>
      </c>
    </row>
    <row r="33" ht="28" customHeight="1">
      <c r="B33" s="14" t="inlineStr">
        <is>
          <t>Tipp: Nur ablesen und eintippen - hier ist ausnahmsweise keine Formel erlaubt.</t>
        </is>
      </c>
    </row>
    <row r="34">
      <c r="B34" s="11" t="inlineStr">
        <is>
          <t>Datenbereich</t>
        </is>
      </c>
    </row>
    <row r="35">
      <c r="B35" s="18" t="n">
        <v>12</v>
      </c>
      <c r="C35" s="18" t="n">
        <v>45</v>
      </c>
      <c r="D35" s="18" t="n">
        <v>8</v>
      </c>
      <c r="E35" s="18" t="n">
        <v>23</v>
      </c>
      <c r="F35" s="18" t="n">
        <v>91</v>
      </c>
      <c r="G35" s="18" t="n">
        <v>34</v>
      </c>
      <c r="H35" s="18" t="n">
        <v>67</v>
      </c>
      <c r="I35" s="18" t="n">
        <v>15</v>
      </c>
    </row>
    <row r="37">
      <c r="B37" s="13" t="inlineStr">
        <is>
          <t>Summe laut Statusleiste</t>
        </is>
      </c>
      <c r="C37" s="20" t="n"/>
      <c r="D37" s="17">
        <f>IF(C37="","Kontrolle",IF(ROUND(C37,3)=295,"OK - richtig","noch nicht richtig"))</f>
        <v/>
      </c>
    </row>
    <row r="38">
      <c r="B38" s="13" t="inlineStr">
        <is>
          <t>Anzahl laut Statusleiste</t>
        </is>
      </c>
      <c r="C38" s="20" t="n"/>
      <c r="D38" s="17">
        <f>IF(C38="","Kontrolle",IF(ROUND(C38,3)=8,"OK - richtig","noch nicht richtig"))</f>
        <v/>
      </c>
    </row>
    <row r="39">
      <c r="B39" s="13" t="inlineStr">
        <is>
          <t>Mittelwert laut Statusleiste</t>
        </is>
      </c>
      <c r="C39" s="20" t="n"/>
      <c r="D39" s="17">
        <f>IF(C39="","Kontrolle",IF(ROUND(C39,3)=36.875,"OK - richtig","noch nicht richtig"))</f>
        <v/>
      </c>
    </row>
    <row r="41" ht="45" customHeight="1">
      <c r="B41" s="16" t="inlineStr">
        <is>
          <t>Aufgabe 6:  Speichere die Arbeitsmappe mit STRG + S. Erzeuge anschließend mit F12 ("Speichern unter") eine Kopie mit dem Namen Mein_Ergebnis.xlsx und arbeite ab jetzt in dieser Kopie weiter.</t>
        </is>
      </c>
    </row>
    <row r="42" ht="28" customHeight="1">
      <c r="B42" s="14" t="inlineStr">
        <is>
          <t>Tipp: STRG + F4 schließt nur die Mappe, ALT + F4 schließt Excel komplett - probiere es zum Schluss aus.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B1:K49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30" customWidth="1" min="11" max="11"/>
  </cols>
  <sheetData>
    <row r="1" ht="22" customHeight="1">
      <c r="B1" s="1" t="inlineStr">
        <is>
          <t>2  Daten markieren</t>
        </is>
      </c>
    </row>
    <row r="2">
      <c r="B2" s="15" t="inlineStr">
        <is>
          <t>Kapitel: Daten eingeben und markieren</t>
        </is>
      </c>
    </row>
    <row r="4" ht="15" customHeight="1">
      <c r="B4" s="16" t="inlineStr">
        <is>
          <t>Aufgabe 1:  Markiere die grüne Zelle mit der Maus.</t>
        </is>
      </c>
    </row>
    <row r="5">
      <c r="D5" s="7" t="n"/>
    </row>
    <row r="7" ht="30" customHeight="1">
      <c r="B7" s="16" t="inlineStr">
        <is>
          <t>Aufgabe 2:  Markiere die beiden aneinanderliegenden grünen Zellen mit gedrückter Maustaste.</t>
        </is>
      </c>
    </row>
    <row r="8">
      <c r="D8" s="7" t="n"/>
      <c r="E8" s="7" t="n"/>
    </row>
    <row r="10" ht="15" customHeight="1">
      <c r="B10" s="16" t="inlineStr">
        <is>
          <t>Aufgabe 3:  Markiere die beiden NICHT aneinanderliegenden grünen Zellen.</t>
        </is>
      </c>
    </row>
    <row r="11" ht="14" customHeight="1">
      <c r="B11" s="14" t="inlineStr">
        <is>
          <t>Tipp: Erste Zelle anklicken - STRG halten - zweite Zelle anklicken.</t>
        </is>
      </c>
    </row>
    <row r="12">
      <c r="D12" s="7" t="n"/>
      <c r="G12" s="7" t="n"/>
    </row>
    <row r="14" ht="15" customHeight="1">
      <c r="B14" s="16" t="inlineStr">
        <is>
          <t>Aufgabe 4:  Markiere den leeren grünen Bereich ausschließlich mit der Tastatur.</t>
        </is>
      </c>
    </row>
    <row r="15" ht="14" customHeight="1">
      <c r="B15" s="14" t="inlineStr">
        <is>
          <t>Tipp: Erste Zelle ansteuern - SHIFT halten - mit den Pfeiltasten aufziehen.</t>
        </is>
      </c>
    </row>
    <row r="16">
      <c r="D16" s="7" t="n"/>
      <c r="E16" s="7" t="n"/>
      <c r="F16" s="7" t="n"/>
    </row>
    <row r="17">
      <c r="D17" s="7" t="n"/>
      <c r="E17" s="7" t="n"/>
      <c r="F17" s="7" t="n"/>
    </row>
    <row r="18">
      <c r="D18" s="7" t="n"/>
      <c r="E18" s="7" t="n"/>
      <c r="F18" s="7" t="n"/>
    </row>
    <row r="20" ht="15" customHeight="1">
      <c r="B20" s="16" t="inlineStr">
        <is>
          <t>Aufgabe 5:  Markiere den zusammenhängenden Datenblock mit STRG + A.</t>
        </is>
      </c>
    </row>
    <row r="21" ht="14" customHeight="1">
      <c r="B21" s="14" t="inlineStr">
        <is>
          <t>Tipp: Dafür muss eine Zelle INNERHALB des Blocks aktiv sein.</t>
        </is>
      </c>
    </row>
    <row r="22">
      <c r="D22" s="21" t="inlineStr">
        <is>
          <t>Nord</t>
        </is>
      </c>
      <c r="E22" s="21" t="inlineStr">
        <is>
          <t>Süd</t>
        </is>
      </c>
      <c r="F22" s="21" t="inlineStr">
        <is>
          <t>Ost</t>
        </is>
      </c>
    </row>
    <row r="23">
      <c r="D23" s="18" t="n">
        <v>120</v>
      </c>
      <c r="E23" s="18" t="n">
        <v>340</v>
      </c>
      <c r="F23" s="18" t="n">
        <v>210</v>
      </c>
    </row>
    <row r="24">
      <c r="D24" s="18" t="n">
        <v>95</v>
      </c>
      <c r="E24" s="18" t="n">
        <v>410</v>
      </c>
      <c r="F24" s="18" t="n">
        <v>180</v>
      </c>
    </row>
    <row r="26" ht="30" customHeight="1">
      <c r="B26" s="16" t="inlineStr">
        <is>
          <t>Aufgabe 6:  Markiere die gesamte Zeile der orangen Zelle - einmal per Klick auf den Zeilenkopf, einmal mit SHIFT + Leertaste.</t>
        </is>
      </c>
    </row>
    <row r="27">
      <c r="D27" s="9" t="n"/>
    </row>
    <row r="29" ht="30" customHeight="1">
      <c r="B29" s="16" t="inlineStr">
        <is>
          <t>Aufgabe 7:  Markiere die gesamte Spalte der orangen Zelle - einmal per Klick auf den Spaltenkopf, einmal mit STRG + Leertaste.</t>
        </is>
      </c>
    </row>
    <row r="30">
      <c r="F30" s="9" t="n"/>
    </row>
    <row r="32" ht="30" customHeight="1">
      <c r="B32" s="16" t="inlineStr">
        <is>
          <t>Aufgabe 8:  Markiere alle Zellen dieses Arbeitsblattes - einmal über das Dreieck links oben, einmal mit STRG + A aus einer leeren Zelle heraus.</t>
        </is>
      </c>
    </row>
    <row r="34" ht="30" customHeight="1">
      <c r="B34" s="16" t="inlineStr">
        <is>
          <t>Aufgabe 9:  Markiere die Arbeitsblätter "2 Markieren", "3 Dateneingabe" und "5 Navigation" gleichzeitig - und hebe die Gruppierung danach wieder auf.</t>
        </is>
      </c>
    </row>
    <row r="35" ht="28" customHeight="1">
      <c r="B35" s="14" t="inlineStr">
        <is>
          <t>Tipp: Erstes Blatt anklicken - STRG halten - weitere Blattregister anklicken. Aufheben per Klick auf ein nicht markiertes Register.</t>
        </is>
      </c>
    </row>
    <row r="37" ht="30" customHeight="1">
      <c r="B37" s="16" t="inlineStr">
        <is>
          <t>Aufgabe 10:  Markiere den grauen Zahlenbereich unten und lies Summe und Anzahl aus der Statusleiste ab. Trage die Werte ein.</t>
        </is>
      </c>
    </row>
    <row r="38" ht="28" customHeight="1">
      <c r="B38" s="14" t="inlineStr">
        <is>
          <t>Tipp: So kontrollierst du in der Praxis blitzschnell, ob du den richtigen Bereich erwischt hast.</t>
        </is>
      </c>
    </row>
    <row r="39">
      <c r="D39" s="11" t="inlineStr">
        <is>
          <t>Umsatz</t>
        </is>
      </c>
    </row>
    <row r="40">
      <c r="D40" s="22" t="n">
        <v>1450</v>
      </c>
      <c r="F40" s="23" t="inlineStr">
        <is>
          <t>Summe des markierten Bereichs</t>
        </is>
      </c>
      <c r="H40" s="19" t="n"/>
      <c r="K40" s="17">
        <f>IF(H40="","Kontrolle",IF(H40=16535,"OK - richtig","noch nicht richtig"))</f>
        <v/>
      </c>
    </row>
    <row r="41">
      <c r="D41" s="22" t="n">
        <v>2310</v>
      </c>
      <c r="F41" s="23" t="inlineStr">
        <is>
          <t>Anzahl der markierten Zellen</t>
        </is>
      </c>
      <c r="H41" s="19" t="n"/>
      <c r="K41" s="17">
        <f>IF(H41="","Kontrolle",IF(H41=10,"OK - richtig","noch nicht richtig"))</f>
        <v/>
      </c>
    </row>
    <row r="42">
      <c r="D42" s="22" t="n">
        <v>980</v>
      </c>
    </row>
    <row r="43">
      <c r="D43" s="22" t="n">
        <v>1725</v>
      </c>
    </row>
    <row r="44">
      <c r="D44" s="22" t="n">
        <v>2040</v>
      </c>
    </row>
    <row r="45">
      <c r="D45" s="22" t="n">
        <v>1615</v>
      </c>
    </row>
    <row r="46">
      <c r="D46" s="22" t="n">
        <v>890</v>
      </c>
    </row>
    <row r="47">
      <c r="D47" s="22" t="n">
        <v>2250</v>
      </c>
    </row>
    <row r="48">
      <c r="D48" s="22" t="n">
        <v>1370</v>
      </c>
    </row>
    <row r="49">
      <c r="D49" s="22" t="n">
        <v>1905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B1:F28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6" customWidth="1" min="3" max="3"/>
    <col width="16" customWidth="1" min="4" max="4"/>
    <col width="16" customWidth="1" min="5" max="5"/>
    <col width="38" customWidth="1" min="6" max="6"/>
  </cols>
  <sheetData>
    <row r="1" ht="22" customHeight="1">
      <c r="B1" s="1" t="inlineStr">
        <is>
          <t>3  Daten eingeben, überschreiben und ergänzen</t>
        </is>
      </c>
    </row>
    <row r="2">
      <c r="B2" s="15" t="inlineStr">
        <is>
          <t>Kapitel: Daten eingeben und markieren</t>
        </is>
      </c>
    </row>
    <row r="4" ht="30" customHeight="1">
      <c r="B4" s="16" t="inlineStr">
        <is>
          <t>Aufgabe 1:  Gib je einen Wert der drei Datenformate ein und beobachte, wie Excel sie ausrichtet.</t>
        </is>
      </c>
    </row>
    <row r="5" ht="42" customHeight="1">
      <c r="B5" s="14" t="inlineStr">
        <is>
          <t>Tipp: Zahlen landen rechts, Text links, Wahrheitswerte zentriert - daran erkennst du sofort, ob Excel deinen Wert als Zahl oder als Text interpretiert.</t>
        </is>
      </c>
    </row>
    <row r="6">
      <c r="B6" s="11" t="inlineStr">
        <is>
          <t>Datenformat</t>
        </is>
      </c>
      <c r="C6" s="11" t="inlineStr">
        <is>
          <t>einzugebender Wert</t>
        </is>
      </c>
      <c r="D6" s="11" t="inlineStr">
        <is>
          <t>deine Eingabe</t>
        </is>
      </c>
      <c r="F6" s="11" t="inlineStr">
        <is>
          <t>Kontrolle</t>
        </is>
      </c>
    </row>
    <row r="7">
      <c r="B7" s="13" t="inlineStr">
        <is>
          <t>Zahl</t>
        </is>
      </c>
      <c r="C7" s="18" t="inlineStr">
        <is>
          <t>123</t>
        </is>
      </c>
      <c r="D7" s="4" t="n"/>
      <c r="F7" s="17">
        <f>IF(D7="","Kontrolle",IF(AND(ISNUMBER(D7),D7=123),"OK - richtig","noch nicht richtig"))</f>
        <v/>
      </c>
    </row>
    <row r="8">
      <c r="B8" s="13" t="inlineStr">
        <is>
          <t>Text</t>
        </is>
      </c>
      <c r="C8" s="18" t="inlineStr">
        <is>
          <t>ABC</t>
        </is>
      </c>
      <c r="D8" s="4" t="n"/>
      <c r="F8" s="17">
        <f>IF(D8="","Kontrolle",IF(AND(ISTEXT(D8),EXACT(D8,"ABC")),"OK - richtig","noch nicht richtig"))</f>
        <v/>
      </c>
    </row>
    <row r="9">
      <c r="B9" s="13" t="inlineStr">
        <is>
          <t>Wahrheitswert</t>
        </is>
      </c>
      <c r="C9" s="18" t="inlineStr">
        <is>
          <t>WAHR</t>
        </is>
      </c>
      <c r="D9" s="4" t="n"/>
      <c r="F9" s="17">
        <f>IF(D9="","Kontrolle",IF(AND(ISLOGICAL(D9),D9=TRUE),"OK - richtig","noch nicht richtig"))</f>
        <v/>
      </c>
    </row>
    <row r="11" ht="30" customHeight="1">
      <c r="B11" s="16" t="inlineStr">
        <is>
          <t>Aufgabe 2:  Überschreibe den Inhalt der grauen Zelle vollständig mit dem Wert 2024.</t>
        </is>
      </c>
    </row>
    <row r="12" ht="14" customHeight="1">
      <c r="B12" s="14" t="inlineStr">
        <is>
          <t>Tipp: Zelle anklicken und einfach lostippen - der alte Inhalt wird ersetzt.</t>
        </is>
      </c>
    </row>
    <row r="13">
      <c r="C13" s="24" t="inlineStr">
        <is>
          <t>Test</t>
        </is>
      </c>
      <c r="F13" s="17">
        <f>IF(C13="","Kontrolle",IF(AND(ISNUMBER(C13),C13=2024),"OK - richtig","noch nicht richtig"))</f>
        <v/>
      </c>
    </row>
    <row r="15" ht="30" customHeight="1">
      <c r="B15" s="16" t="inlineStr">
        <is>
          <t>Aufgabe 3:  Ergänze in allen drei Zellen die Zahl 123 zu 1234 - jedes Mal auf einem anderen Weg.</t>
        </is>
      </c>
    </row>
    <row r="16" ht="28" customHeight="1">
      <c r="B16" s="14" t="inlineStr">
        <is>
          <t>Tipp: 1) Doppelklick auf die Zelle   2) Klick in die Bearbeitungsleiste   3) Taste F2</t>
        </is>
      </c>
    </row>
    <row r="17">
      <c r="B17" s="13" t="inlineStr">
        <is>
          <t>1) Doppelklick</t>
        </is>
      </c>
      <c r="C17" s="4" t="n">
        <v>123</v>
      </c>
      <c r="F17" s="17">
        <f>IF(C17="","Kontrolle",IF(C17=1234,"OK - richtig","noch nicht richtig"))</f>
        <v/>
      </c>
    </row>
    <row r="18">
      <c r="B18" s="13" t="inlineStr">
        <is>
          <t>2) Bearbeitungsleiste</t>
        </is>
      </c>
      <c r="C18" s="4" t="n">
        <v>123</v>
      </c>
      <c r="F18" s="17">
        <f>IF(C18="","Kontrolle",IF(C18=1234,"OK - richtig","noch nicht richtig"))</f>
        <v/>
      </c>
    </row>
    <row r="19">
      <c r="B19" s="13" t="inlineStr">
        <is>
          <t>3) F2</t>
        </is>
      </c>
      <c r="C19" s="4" t="n">
        <v>123</v>
      </c>
      <c r="F19" s="17">
        <f>IF(C19="","Kontrolle",IF(C19=1234,"OK - richtig","noch nicht richtig"))</f>
        <v/>
      </c>
    </row>
    <row r="21" ht="15" customHeight="1">
      <c r="B21" s="16" t="inlineStr">
        <is>
          <t>Aufgabe 4:  Befülle alle sechs gelben Zellen GLEICHZEITIG mit dem Text Excel.</t>
        </is>
      </c>
    </row>
    <row r="22" ht="28" customHeight="1">
      <c r="B22" s="14" t="inlineStr">
        <is>
          <t>Tipp: Bereich markieren - F2 - Wert eintippen - mit STRG + ENTER bestätigen.</t>
        </is>
      </c>
    </row>
    <row r="23">
      <c r="C23" s="4" t="n"/>
      <c r="D23" s="4" t="n"/>
      <c r="E23" s="4" t="n"/>
      <c r="F23" s="25">
        <f>IF(COUNTBLANK(C23:E24)&gt;0,"Kontrolle",IF(AND(EXACT(C23,"Excel"),EXACT(D23,"Excel"),EXACT(E23,"Excel"),EXACT(C24,"Excel"),EXACT(D24,"Excel"),EXACT(E24,"Excel")),"OK - richtig","noch nicht richtig"))</f>
        <v/>
      </c>
    </row>
    <row r="24">
      <c r="C24" s="4" t="n"/>
      <c r="D24" s="4" t="n"/>
      <c r="E24" s="4" t="n"/>
    </row>
    <row r="26" ht="30" customHeight="1">
      <c r="B26" s="16" t="inlineStr">
        <is>
          <t>Aufgabe 5:  Sorge dafür, dass in der gelben Zelle der Text =2+2 steht - und NICHT das Ergebnis 4.</t>
        </is>
      </c>
    </row>
    <row r="27" ht="28" customHeight="1">
      <c r="B27" s="14" t="inlineStr">
        <is>
          <t>Tipp: Ein vorangestelltes Apostroph ' zwingt Excel, die Eingabe als Text zu behandeln.</t>
        </is>
      </c>
    </row>
    <row r="28">
      <c r="C28" s="4" t="n"/>
      <c r="F28" s="17">
        <f>IF(C28="","Kontrolle",IF(AND(ISTEXT(C28),EXACT(C28,"=2+2")),"OK - richtig","noch nicht richtig"))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B1:P42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3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hidden="1" width="22" customWidth="1" min="16" max="16"/>
    <col width="11" customWidth="1" min="17" max="17"/>
  </cols>
  <sheetData>
    <row r="1" ht="22" customHeight="1">
      <c r="B1" s="1" t="inlineStr">
        <is>
          <t>4  Zeilen und Spalten</t>
        </is>
      </c>
    </row>
    <row r="2">
      <c r="B2" s="15" t="inlineStr">
        <is>
          <t>Kapitel: Zeilen und Spalten  -  Achtung: Auf diesem Blatt veränderst du die Struktur!</t>
        </is>
      </c>
    </row>
    <row r="4" ht="15" customHeight="1">
      <c r="B4" s="16" t="inlineStr">
        <is>
          <t>Aufgabe 1:  Füge zwischen den beiden orangen Zellen eine neue Spalte ein.</t>
        </is>
      </c>
    </row>
    <row r="5" ht="14" customHeight="1">
      <c r="B5" s="14" t="inlineStr">
        <is>
          <t>Tipp: Spalte markieren (STRG + Leertaste) und STRG + + drücken.</t>
        </is>
      </c>
    </row>
    <row r="6">
      <c r="H6" s="9" t="inlineStr">
        <is>
          <t>links</t>
        </is>
      </c>
      <c r="I6" s="9" t="inlineStr">
        <is>
          <t>rechts</t>
        </is>
      </c>
    </row>
    <row r="8" ht="15" customHeight="1">
      <c r="B8" s="16" t="inlineStr">
        <is>
          <t>Aufgabe 2:  Lösche die komplette rot markierte Spalte.</t>
        </is>
      </c>
      <c r="P8" s="26" t="inlineStr">
        <is>
          <t>TABELLENSTRUKTUR</t>
        </is>
      </c>
    </row>
    <row r="9" ht="14" customHeight="1">
      <c r="B9" s="14" t="inlineStr">
        <is>
          <t>Tipp: Spalte markieren und STRG + - drücken.</t>
        </is>
      </c>
    </row>
    <row r="10">
      <c r="L10" s="10" t="inlineStr">
        <is>
          <t>löschen</t>
        </is>
      </c>
    </row>
    <row r="11">
      <c r="L11" s="10" t="n"/>
    </row>
    <row r="12">
      <c r="L12" s="10" t="n"/>
    </row>
    <row r="13">
      <c r="L13" s="10" t="n"/>
    </row>
    <row r="15" ht="15" customHeight="1">
      <c r="B15" s="16" t="inlineStr">
        <is>
          <t>Aufgabe 3:  Füge zwischen den beiden orangen Zeilen eine neue Zeile ein.</t>
        </is>
      </c>
    </row>
    <row r="16" ht="14" customHeight="1">
      <c r="B16" s="14" t="inlineStr">
        <is>
          <t>Tipp: Zeile markieren (SHIFT + Leertaste) und STRG + + drücken.</t>
        </is>
      </c>
    </row>
    <row r="17">
      <c r="D17" s="9" t="inlineStr">
        <is>
          <t>obere Zeile</t>
        </is>
      </c>
      <c r="E17" s="9" t="n"/>
      <c r="F17" s="9" t="n"/>
      <c r="G17" s="9" t="n"/>
    </row>
    <row r="18">
      <c r="D18" s="9" t="inlineStr">
        <is>
          <t>untere Zeile</t>
        </is>
      </c>
      <c r="E18" s="9" t="n"/>
      <c r="F18" s="9" t="n"/>
      <c r="G18" s="9" t="n"/>
    </row>
    <row r="20" ht="15" customHeight="1">
      <c r="B20" s="16" t="inlineStr">
        <is>
          <t>Aufgabe 4:  Lösche die komplette rot markierte Zeile.</t>
        </is>
      </c>
    </row>
    <row r="21">
      <c r="D21" s="10" t="inlineStr">
        <is>
          <t>löschen</t>
        </is>
      </c>
      <c r="E21" s="10" t="n"/>
      <c r="F21" s="10" t="n"/>
      <c r="G21" s="10" t="n"/>
    </row>
    <row r="23" ht="15" customHeight="1">
      <c r="B23" s="16" t="inlineStr">
        <is>
          <t>Aufgabe 5:  Passe die Breite der Spalte D automatisch an den langen Text an.</t>
        </is>
      </c>
    </row>
    <row r="24" ht="14" customHeight="1">
      <c r="B24" s="14" t="inlineStr">
        <is>
          <t>Tipp: Doppelklick auf die Trennlinie zwischen den Spaltenköpfen D und E.</t>
        </is>
      </c>
    </row>
    <row r="25">
      <c r="D25" t="inlineStr">
        <is>
          <t>Dieser Text ist deutlich breiter als die Standardspalte</t>
        </is>
      </c>
    </row>
    <row r="27" ht="30" customHeight="1">
      <c r="B27" s="16" t="inlineStr">
        <is>
          <t>Aufgabe 6:  Stelle für die Zeile der blauen Zelle exakt eine Zeilenhöhe von 30 ein.</t>
        </is>
      </c>
    </row>
    <row r="28" ht="14" customHeight="1">
      <c r="B28" s="14" t="inlineStr">
        <is>
          <t>Tipp: Rechtsklick auf den Zeilenkopf - Zeilenhöhe - 30 eintragen.</t>
        </is>
      </c>
    </row>
    <row r="29">
      <c r="D29" s="8" t="inlineStr">
        <is>
          <t>Höhe 30</t>
        </is>
      </c>
    </row>
    <row r="31" ht="45" customHeight="1">
      <c r="B31" s="16" t="inlineStr">
        <is>
          <t>Aufgabe 7:  Blende die Spalte F aus (STRG + 8) und danach wieder ein (STRG + SHIFT + 8). Wiederhole das mit einer Zeile deiner Wahl (STRG + 9 / STRG + SHIFT + 9).</t>
        </is>
      </c>
    </row>
    <row r="33" ht="30" customHeight="1">
      <c r="B33" s="16" t="inlineStr">
        <is>
          <t>Aufgabe 8:  Auf diesem Arbeitsblatt ist eine Spalte versteckt. Blende sie ein und trage das dort verborgene Lösungswort unten ein.</t>
        </is>
      </c>
    </row>
    <row r="34" ht="28" customHeight="1">
      <c r="B34" s="14" t="inlineStr">
        <is>
          <t>Tipp: Die beiden Nachbarspalten markieren und STRG + SHIFT + 8 drücken - oder Rechtsklick auf die Spaltenköpfe - Einblenden.</t>
        </is>
      </c>
    </row>
    <row r="35">
      <c r="B35" s="13" t="inlineStr">
        <is>
          <t>Lösungswort aus der versteckten Spalte</t>
        </is>
      </c>
      <c r="D35" s="4" t="n"/>
      <c r="H35" s="17">
        <f>IF(D35="","Kontrolle",IF(EXACT(UPPER(D35),"TABELLENSTRUKTUR"),"OK - richtig","noch nicht richtig"))</f>
        <v/>
      </c>
    </row>
    <row r="37" ht="30" customHeight="1">
      <c r="B37" s="16" t="inlineStr">
        <is>
          <t>Aufgabe 9:  Auch eine Zeile ist versteckt. Blende sie ein und trage die verborgene Zahl ein.</t>
        </is>
      </c>
    </row>
    <row r="38">
      <c r="B38" s="13" t="inlineStr">
        <is>
          <t>Zahl aus der versteckten Zeile</t>
        </is>
      </c>
      <c r="D38" s="19" t="n"/>
      <c r="H38" s="17">
        <f>IF(D38="","Kontrolle",IF(D38=4711,"OK - richtig","noch nicht richtig"))</f>
        <v/>
      </c>
    </row>
    <row r="42" hidden="1">
      <c r="B42" s="15" t="inlineStr">
        <is>
          <t>versteckte Zeile</t>
        </is>
      </c>
      <c r="D42" s="26" t="n">
        <v>4711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B1:M46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30" customWidth="1" min="15" max="15"/>
  </cols>
  <sheetData>
    <row r="1" ht="22" customHeight="1">
      <c r="B1" s="1" t="inlineStr">
        <is>
          <t>5  Navigation in und zwischen Arbeitsblättern</t>
        </is>
      </c>
    </row>
    <row r="2">
      <c r="B2" s="15" t="inlineStr">
        <is>
          <t>Kapitel: Navigation in und zwischen Arbeitsblättern</t>
        </is>
      </c>
    </row>
    <row r="4" ht="45" customHeight="1">
      <c r="B4" s="16" t="inlineStr">
        <is>
          <t>Aufgabe 1:  Springe mit STRG + ENDE ans Ende des benutzten Bereichs. Dort steht ein Lösungswort - trage es hier ein. Mit STRG + POS1 kommst du wieder zurück.</t>
        </is>
      </c>
    </row>
    <row r="5">
      <c r="B5" s="13" t="inlineStr">
        <is>
          <t>Lösungswort vom Blattende</t>
        </is>
      </c>
      <c r="D5" s="4" t="n"/>
      <c r="G5" s="17">
        <f>IF(D5="","Kontrolle",IF(EXACT(UPPER(D5),"NAVIGATION"),"OK - richtig","noch nicht richtig"))</f>
        <v/>
      </c>
    </row>
    <row r="7" ht="30" customHeight="1">
      <c r="B7" s="16" t="inlineStr">
        <is>
          <t>Aufgabe 2:  Springe mit dem Namensfeld (links oben) direkt in die Zelle K44 und trage die Zahl, die dort steht, hier ein.</t>
        </is>
      </c>
    </row>
    <row r="8" ht="28" customHeight="1">
      <c r="B8" s="14" t="inlineStr">
        <is>
          <t>Tipp: Zelladresse eintippen und mit ENTER bestätigen - das ist bei großen Tabellen der schnellste Weg.</t>
        </is>
      </c>
    </row>
    <row r="9">
      <c r="B9" s="13" t="inlineStr">
        <is>
          <t>Zahl aus Zelle K44</t>
        </is>
      </c>
      <c r="D9" s="19" t="n"/>
      <c r="G9" s="17">
        <f>IF(D9="","Kontrolle",IF(D9=2187,"OK - richtig","noch nicht richtig"))</f>
        <v/>
      </c>
    </row>
    <row r="11" ht="45" customHeight="1">
      <c r="B11" s="16" t="inlineStr">
        <is>
          <t>Aufgabe 3:  Springe mit STRG + Pfeiltaste von Datenblock zu Datenblock. Schneide die sechs grünen Zahlen aus (STRG + X) und füge sie in die blauen Zellen ein.</t>
        </is>
      </c>
    </row>
    <row r="12" ht="28" customHeight="1">
      <c r="B12" s="14" t="inlineStr">
        <is>
          <t>Tipp: STRG + Pfeiltaste springt an den Rand des aktuellen Bereichs bzw. zum nächsten Bereich.</t>
        </is>
      </c>
    </row>
    <row r="13">
      <c r="D13" s="8" t="n"/>
      <c r="E13" s="8" t="n"/>
      <c r="G13" s="25">
        <f>IF(COUNTBLANK(D13:E15)&gt;0,"Kontrolle",IF(SUM(D13:E15)=21,"OK - richtig","noch nicht richtig"))</f>
        <v/>
      </c>
    </row>
    <row r="14">
      <c r="D14" s="8" t="n"/>
      <c r="E14" s="8" t="n"/>
    </row>
    <row r="15">
      <c r="D15" s="8" t="n"/>
      <c r="E15" s="8" t="n"/>
    </row>
    <row r="17" ht="30" customHeight="1">
      <c r="B17" s="16" t="inlineStr">
        <is>
          <t>Aufgabe 4:  Wechsle mit STRG + BILD-hoch und STRG + BILD-runter durch alle Arbeitsblätter dieser Mappe - ganz ohne Maus.</t>
        </is>
      </c>
    </row>
    <row r="19" ht="45" customHeight="1">
      <c r="B19" s="16" t="inlineStr">
        <is>
          <t>Aufgabe 5:  Öffne eine zweite Arbeitsmappe (STRG + N) und wechsle mit ALT + TAB zwischen den beiden Fenstern hin und her. Schließe die neue Mappe anschließend mit STRG + F4 wieder.</t>
        </is>
      </c>
    </row>
    <row r="22">
      <c r="H22" s="7" t="n">
        <v>1</v>
      </c>
      <c r="K22" s="7" t="n">
        <v>2</v>
      </c>
    </row>
    <row r="30">
      <c r="H30" s="7" t="n">
        <v>3</v>
      </c>
      <c r="K30" s="7" t="n">
        <v>4</v>
      </c>
    </row>
    <row r="38">
      <c r="H38" s="7" t="n">
        <v>5</v>
      </c>
      <c r="K38" s="7" t="n">
        <v>6</v>
      </c>
    </row>
    <row r="44">
      <c r="J44" s="15" t="inlineStr">
        <is>
          <t>Ziel des Namensfelds:</t>
        </is>
      </c>
      <c r="K44" s="18" t="n">
        <v>2187</v>
      </c>
    </row>
    <row r="46">
      <c r="L46" s="15" t="inlineStr">
        <is>
          <t>Lösungswort:</t>
        </is>
      </c>
      <c r="M46" s="9" t="inlineStr">
        <is>
          <t>NAVIGATION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B1:D22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8" customWidth="1" min="3" max="3"/>
    <col width="44" customWidth="1" min="4" max="4"/>
  </cols>
  <sheetData>
    <row r="1" ht="22" customHeight="1">
      <c r="B1" s="1" t="inlineStr">
        <is>
          <t>6  Rechenoperatoren</t>
        </is>
      </c>
    </row>
    <row r="2">
      <c r="B2" s="15" t="inlineStr">
        <is>
          <t>Kapitel: Rechenoperatoren  -  jede Lösung muss eine Formel sein und mit = beginnen!</t>
        </is>
      </c>
    </row>
    <row r="4" ht="30" customHeight="1">
      <c r="B4" s="16" t="inlineStr">
        <is>
          <t>Aufgabe 1:  Berechne die folgenden Ausdrücke - trage jeweils eine Formel in die gelbe Zelle ein.</t>
        </is>
      </c>
    </row>
    <row r="5" ht="28" customHeight="1">
      <c r="B5" s="14" t="inlineStr">
        <is>
          <t>Tipp: Jede Formel beginnt mit einem Gleichheitszeichen. Die Kontrolle meldet es dir, wenn du nur das Ergebnis hineingeschrieben hast.</t>
        </is>
      </c>
    </row>
    <row r="6">
      <c r="B6" s="11" t="inlineStr">
        <is>
          <t>Ausdruck</t>
        </is>
      </c>
      <c r="C6" s="11" t="inlineStr">
        <is>
          <t>dein Ergebnis</t>
        </is>
      </c>
      <c r="D6" s="11" t="inlineStr">
        <is>
          <t>Kontrolle</t>
        </is>
      </c>
    </row>
    <row r="7">
      <c r="B7" s="13" t="inlineStr">
        <is>
          <t>Addition:  2 + 6</t>
        </is>
      </c>
      <c r="C7" s="20" t="n"/>
      <c r="D7" s="25">
        <f>IF(C7="","Kontrolle",IF(AND(_xlfn.ISFORMULA(C7),ABS(C7-8)&lt;0.0005),"OK - richtig",IF(ABS(C7-8)&lt;0.0005,"Ergebnis stimmt - bitte als Formel eingeben!","noch nicht richtig")))</f>
        <v/>
      </c>
    </row>
    <row r="8">
      <c r="B8" s="13" t="inlineStr">
        <is>
          <t>Subtraktion:  9 - 4</t>
        </is>
      </c>
      <c r="C8" s="20" t="n"/>
      <c r="D8" s="25">
        <f>IF(C8="","Kontrolle",IF(AND(_xlfn.ISFORMULA(C8),ABS(C8-5)&lt;0.0005),"OK - richtig",IF(ABS(C8-5)&lt;0.0005,"Ergebnis stimmt - bitte als Formel eingeben!","noch nicht richtig")))</f>
        <v/>
      </c>
    </row>
    <row r="9">
      <c r="B9" s="13" t="inlineStr">
        <is>
          <t>Multiplikation:  5 * 7</t>
        </is>
      </c>
      <c r="C9" s="20" t="n"/>
      <c r="D9" s="25">
        <f>IF(C9="","Kontrolle",IF(AND(_xlfn.ISFORMULA(C9),ABS(C9-35)&lt;0.0005),"OK - richtig",IF(ABS(C9-35)&lt;0.0005,"Ergebnis stimmt - bitte als Formel eingeben!","noch nicht richtig")))</f>
        <v/>
      </c>
    </row>
    <row r="10">
      <c r="B10" s="13" t="inlineStr">
        <is>
          <t>Division:  18 / 5</t>
        </is>
      </c>
      <c r="C10" s="20" t="n"/>
      <c r="D10" s="25">
        <f>IF(C10="","Kontrolle",IF(AND(_xlfn.ISFORMULA(C10),ABS(C10-3.6)&lt;0.0005),"OK - richtig",IF(ABS(C10-3.6)&lt;0.0005,"Ergebnis stimmt - bitte als Formel eingeben!","noch nicht richtig")))</f>
        <v/>
      </c>
    </row>
    <row r="11">
      <c r="B11" s="13" t="inlineStr">
        <is>
          <t>Exponent:  3 hoch 3</t>
        </is>
      </c>
      <c r="C11" s="20" t="n"/>
      <c r="D11" s="25">
        <f>IF(C11="","Kontrolle",IF(AND(_xlfn.ISFORMULA(C11),ABS(C11-27)&lt;0.0005),"OK - richtig",IF(ABS(C11-27)&lt;0.0005,"Ergebnis stimmt - bitte als Formel eingeben!","noch nicht richtig")))</f>
        <v/>
      </c>
    </row>
    <row r="12">
      <c r="B12" s="13" t="inlineStr">
        <is>
          <t>Wurzel aus 25</t>
        </is>
      </c>
      <c r="C12" s="20" t="n"/>
      <c r="D12" s="25">
        <f>IF(C12="","Kontrolle",IF(AND(_xlfn.ISFORMULA(C12),ABS(C12-5)&lt;0.0005),"OK - richtig",IF(ABS(C12-5)&lt;0.0005,"Ergebnis stimmt - bitte als Formel eingeben!","noch nicht richtig")))</f>
        <v/>
      </c>
    </row>
    <row r="13">
      <c r="B13" s="13" t="inlineStr">
        <is>
          <t>Klammern:  (2 + 4) * (3 + 5)</t>
        </is>
      </c>
      <c r="C13" s="20" t="n"/>
      <c r="D13" s="25">
        <f>IF(C13="","Kontrolle",IF(AND(_xlfn.ISFORMULA(C13),ABS(C13-48)&lt;0.0005),"OK - richtig",IF(ABS(C13-48)&lt;0.0005,"Ergebnis stimmt - bitte als Formel eingeben!","noch nicht richtig")))</f>
        <v/>
      </c>
    </row>
    <row r="14">
      <c r="B14" s="13" t="inlineStr">
        <is>
          <t>Punkt vor Strich:  2 + 3 * 4</t>
        </is>
      </c>
      <c r="C14" s="20" t="n"/>
      <c r="D14" s="25">
        <f>IF(C14="","Kontrolle",IF(AND(_xlfn.ISFORMULA(C14),ABS(C14-14)&lt;0.0005),"OK - richtig",IF(ABS(C14-14)&lt;0.0005,"Ergebnis stimmt - bitte als Formel eingeben!","noch nicht richtig")))</f>
        <v/>
      </c>
    </row>
    <row r="16" ht="45" customHeight="1">
      <c r="B16" s="16" t="inlineStr">
        <is>
          <t>Aufgabe 2:  Ein Netto-Preis von 249,00 EUR soll mit 20 % Umsatzsteuer belastet werden. Berechne den Bruttopreis mit einer Formel, die auf die grauen Zellen verweist.</t>
        </is>
      </c>
    </row>
    <row r="17">
      <c r="B17" s="18" t="inlineStr">
        <is>
          <t>Nettopreis in EUR</t>
        </is>
      </c>
      <c r="C17" s="27" t="n">
        <v>249</v>
      </c>
    </row>
    <row r="18">
      <c r="B18" s="18" t="inlineStr">
        <is>
          <t>Umsatzsteuersatz</t>
        </is>
      </c>
      <c r="C18" s="28" t="n">
        <v>0.2</v>
      </c>
    </row>
    <row r="19">
      <c r="B19" s="23" t="inlineStr">
        <is>
          <t>Bruttopreis in EUR</t>
        </is>
      </c>
      <c r="C19" s="29" t="n"/>
      <c r="D19" s="25">
        <f>IF(C19="","Kontrolle",IF(AND(_xlfn.ISFORMULA(C19),ABS(C19-298.8)&lt;0.005),"OK - richtig",IF(ABS(C19-298.8)&lt;0.005,"Ergebnis stimmt - bitte als Formel eingeben!","noch nicht richtig")))</f>
        <v/>
      </c>
    </row>
    <row r="21" ht="45" customHeight="1">
      <c r="B21" s="16" t="inlineStr">
        <is>
          <t>Aufgabe 3:  Lass dir mit Formeln - Formelüberwachung - Formeln anzeigen alle Formeln dieses Blattes gleichzeitig einblenden und danach wieder ausblenden.</t>
        </is>
      </c>
    </row>
    <row r="22" ht="28" customHeight="1">
      <c r="B22" s="14" t="inlineStr">
        <is>
          <t>Tipp: Shortcut: STRG + # (bzw. STRG + Akzenttaste). So findest du in fremden Dateien sofort, wo gerechnet und wo nur getippt wurde.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B1:G18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2" customWidth="1" min="3" max="3"/>
    <col width="12" customWidth="1" min="4" max="4"/>
    <col width="34" customWidth="1" min="5" max="5"/>
    <col width="16" customWidth="1" min="6" max="6"/>
    <col width="34" customWidth="1" min="7" max="7"/>
  </cols>
  <sheetData>
    <row r="1" ht="22" customHeight="1">
      <c r="B1" s="1" t="inlineStr">
        <is>
          <t>7  Vergleichsoperatoren</t>
        </is>
      </c>
    </row>
    <row r="2">
      <c r="B2" s="15" t="inlineStr">
        <is>
          <t>Kapitel: Vergleichsoperatoren  -  Ergebnis ist immer WAHR oder FALSCH</t>
        </is>
      </c>
    </row>
    <row r="4" ht="42" customHeight="1">
      <c r="B4" s="14" t="inlineStr">
        <is>
          <t>Vergleiche werden wie Rechenformeln eingegeben: mit einem = eingeleitet und mit Zellbezügen, z. B. =A1&gt;B1. Als Ergebnis liefert Excel nie eine Zahl, sondern immer den Wahrheitswert WAHR oder FALSCH.</t>
        </is>
      </c>
    </row>
    <row r="6" ht="30" customHeight="1">
      <c r="B6" s="16" t="inlineStr">
        <is>
          <t>Aufgabe 1:  Beantworte jede Fragestellung mit einer Vergleichsformel auf die beiden grauen Zellen.</t>
        </is>
      </c>
    </row>
    <row r="7">
      <c r="B7" s="11" t="inlineStr">
        <is>
          <t>Fragestellung</t>
        </is>
      </c>
      <c r="C7" s="11" t="inlineStr">
        <is>
          <t>Wert A</t>
        </is>
      </c>
      <c r="D7" s="11" t="inlineStr">
        <is>
          <t>Wert B</t>
        </is>
      </c>
      <c r="E7" s="11" t="inlineStr">
        <is>
          <t>Vergleich</t>
        </is>
      </c>
      <c r="F7" s="11" t="inlineStr">
        <is>
          <t>dein Ergebnis</t>
        </is>
      </c>
      <c r="G7" s="11" t="inlineStr">
        <is>
          <t>Kontrolle</t>
        </is>
      </c>
    </row>
    <row r="8">
      <c r="B8" s="13" t="inlineStr">
        <is>
          <t>Ist A gleich B?</t>
        </is>
      </c>
      <c r="C8" s="22" t="n">
        <v>120</v>
      </c>
      <c r="D8" s="22" t="n">
        <v>120</v>
      </c>
      <c r="E8" s="30" t="inlineStr">
        <is>
          <t>zu verwendender Operator:  =</t>
        </is>
      </c>
      <c r="F8" s="4" t="n"/>
      <c r="G8" s="25">
        <f>IF(F8="","Kontrolle",IF(AND(_xlfn.ISFORMULA(F8),F8=TRUE),"OK - richtig",IF(F8=TRUE,"Ergebnis stimmt - bitte als Formel eingeben!","noch nicht richtig")))</f>
        <v/>
      </c>
    </row>
    <row r="9">
      <c r="B9" s="13" t="inlineStr">
        <is>
          <t>Ist A ungleich B?</t>
        </is>
      </c>
      <c r="C9" s="22" t="n">
        <v>120</v>
      </c>
      <c r="D9" s="22" t="n">
        <v>340</v>
      </c>
      <c r="E9" s="30" t="inlineStr">
        <is>
          <t>zu verwendender Operator:  &lt;&gt;</t>
        </is>
      </c>
      <c r="F9" s="4" t="n"/>
      <c r="G9" s="25">
        <f>IF(F9="","Kontrolle",IF(AND(_xlfn.ISFORMULA(F9),F9=TRUE),"OK - richtig",IF(F9=TRUE,"Ergebnis stimmt - bitte als Formel eingeben!","noch nicht richtig")))</f>
        <v/>
      </c>
    </row>
    <row r="10">
      <c r="B10" s="13" t="inlineStr">
        <is>
          <t>Ist A kleiner als B?</t>
        </is>
      </c>
      <c r="C10" s="22" t="n">
        <v>450</v>
      </c>
      <c r="D10" s="22" t="n">
        <v>300</v>
      </c>
      <c r="E10" s="30" t="inlineStr">
        <is>
          <t>zu verwendender Operator:  &lt;</t>
        </is>
      </c>
      <c r="F10" s="4" t="n"/>
      <c r="G10" s="25">
        <f>IF(F10="","Kontrolle",IF(AND(_xlfn.ISFORMULA(F10),F10=FALSE),"OK - richtig",IF(F10=FALSE,"Ergebnis stimmt - bitte als Formel eingeben!","noch nicht richtig")))</f>
        <v/>
      </c>
    </row>
    <row r="11">
      <c r="B11" s="13" t="inlineStr">
        <is>
          <t>Ist A größer als B?</t>
        </is>
      </c>
      <c r="C11" s="22" t="n">
        <v>450</v>
      </c>
      <c r="D11" s="22" t="n">
        <v>300</v>
      </c>
      <c r="E11" s="30" t="inlineStr">
        <is>
          <t>zu verwendender Operator:  &gt;</t>
        </is>
      </c>
      <c r="F11" s="4" t="n"/>
      <c r="G11" s="25">
        <f>IF(F11="","Kontrolle",IF(AND(_xlfn.ISFORMULA(F11),F11=TRUE),"OK - richtig",IF(F11=TRUE,"Ergebnis stimmt - bitte als Formel eingeben!","noch nicht richtig")))</f>
        <v/>
      </c>
    </row>
    <row r="12">
      <c r="B12" s="13" t="inlineStr">
        <is>
          <t>Ist A kleiner oder gleich B?</t>
        </is>
      </c>
      <c r="C12" s="22" t="n">
        <v>75</v>
      </c>
      <c r="D12" s="22" t="n">
        <v>75</v>
      </c>
      <c r="E12" s="30" t="inlineStr">
        <is>
          <t>zu verwendender Operator:  &lt;=</t>
        </is>
      </c>
      <c r="F12" s="4" t="n"/>
      <c r="G12" s="25">
        <f>IF(F12="","Kontrolle",IF(AND(_xlfn.ISFORMULA(F12),F12=TRUE),"OK - richtig",IF(F12=TRUE,"Ergebnis stimmt - bitte als Formel eingeben!","noch nicht richtig")))</f>
        <v/>
      </c>
    </row>
    <row r="13">
      <c r="B13" s="13" t="inlineStr">
        <is>
          <t>Ist A größer oder gleich B?</t>
        </is>
      </c>
      <c r="C13" s="22" t="n">
        <v>60</v>
      </c>
      <c r="D13" s="22" t="n">
        <v>90</v>
      </c>
      <c r="E13" s="30" t="inlineStr">
        <is>
          <t>zu verwendender Operator:  &gt;=</t>
        </is>
      </c>
      <c r="F13" s="4" t="n"/>
      <c r="G13" s="25">
        <f>IF(F13="","Kontrolle",IF(AND(_xlfn.ISFORMULA(F13),F13=FALSE),"OK - richtig",IF(F13=FALSE,"Ergebnis stimmt - bitte als Formel eingeben!","noch nicht richtig")))</f>
        <v/>
      </c>
    </row>
    <row r="15" ht="30" customHeight="1">
      <c r="B15" s="16" t="inlineStr">
        <is>
          <t>Aufgabe 2:  Prüfe mit einem Vergleich, ob der Umsatz des Vorjahres den Planwert erreicht hat.</t>
        </is>
      </c>
    </row>
    <row r="16">
      <c r="B16" s="18" t="inlineStr">
        <is>
          <t>Umsatz Vorjahr in EUR</t>
        </is>
      </c>
      <c r="C16" s="22" t="n">
        <v>1871226</v>
      </c>
    </row>
    <row r="17">
      <c r="B17" s="18" t="inlineStr">
        <is>
          <t>Planwert in EUR</t>
        </is>
      </c>
      <c r="C17" s="22" t="n">
        <v>1800000</v>
      </c>
    </row>
    <row r="18">
      <c r="B18" s="23" t="inlineStr">
        <is>
          <t>Planwert erreicht? (WAHR/FALSCH)</t>
        </is>
      </c>
      <c r="F18" s="4" t="n"/>
      <c r="G18" s="25">
        <f>IF(F18="","Kontrolle",IF(AND(_xlfn.ISFORMULA(F18),F18=TRUE),"OK - richtig",IF(F18=TRUE,"Ergebnis stimmt - bitte als Formel eingeben!","noch nicht richtig")))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B1:H24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22" customHeight="1">
      <c r="B1" s="1" t="inlineStr">
        <is>
          <t>8  Zellbezüge - relativ, absolut und gemischt</t>
        </is>
      </c>
    </row>
    <row r="2">
      <c r="B2" s="15" t="inlineStr">
        <is>
          <t>Kapitel: Zellbezüge  -  mit F4 schaltest du zwischen den Bezugsarten um</t>
        </is>
      </c>
    </row>
    <row r="4" ht="30" customHeight="1">
      <c r="B4" s="16" t="inlineStr">
        <is>
          <t>Aufgabe 1:  Berechne den Jahresumsatz zweimal: einmal als einfache Addition der vier Zellbezüge, einmal mit der Funktion SUMME.</t>
        </is>
      </c>
    </row>
    <row r="5">
      <c r="B5" s="11" t="inlineStr">
        <is>
          <t>Quartal</t>
        </is>
      </c>
      <c r="C5" s="11" t="inlineStr">
        <is>
          <t>Umsatz in EUR</t>
        </is>
      </c>
      <c r="D5" s="11" t="inlineStr">
        <is>
          <t>Anteil am Jahr</t>
        </is>
      </c>
      <c r="H5" s="11" t="inlineStr">
        <is>
          <t>Kontrolle</t>
        </is>
      </c>
    </row>
    <row r="6">
      <c r="B6" s="18" t="inlineStr">
        <is>
          <t>Q1</t>
        </is>
      </c>
      <c r="C6" s="22" t="n">
        <v>420000</v>
      </c>
      <c r="D6" s="31" t="n"/>
      <c r="H6" s="25">
        <f>IF(COUNTBLANK(D6:D9)&gt;0,"Kontrolle",IF(AND(ABS(D6-0.224452)&lt;0.0001,ABS(D7-0.188165)&lt;0.0001,ABS(D8-0.506901)&lt;0.0001,ABS(D9-0.080482)&lt;0.0001),"OK - richtig","noch nicht richtig"))</f>
        <v/>
      </c>
    </row>
    <row r="7">
      <c r="B7" s="18" t="inlineStr">
        <is>
          <t>Q2</t>
        </is>
      </c>
      <c r="C7" s="22" t="n">
        <v>352100</v>
      </c>
      <c r="D7" s="31" t="n"/>
    </row>
    <row r="8">
      <c r="B8" s="18" t="inlineStr">
        <is>
          <t>Q3</t>
        </is>
      </c>
      <c r="C8" s="22" t="n">
        <v>948526</v>
      </c>
      <c r="D8" s="31" t="n"/>
    </row>
    <row r="9">
      <c r="B9" s="18" t="inlineStr">
        <is>
          <t>Q4</t>
        </is>
      </c>
      <c r="C9" s="22" t="n">
        <v>150600</v>
      </c>
      <c r="D9" s="31" t="n"/>
    </row>
    <row r="10">
      <c r="B10" s="23" t="inlineStr">
        <is>
          <t>Jahresumsatz (mit + addiert)</t>
        </is>
      </c>
      <c r="C10" s="19" t="n"/>
      <c r="H10" s="25">
        <f>IF(C10="","Kontrolle",IF(AND(_xlfn.ISFORMULA(C10),ABS(C10-1871226)&lt;0.5),"OK - richtig",IF(ABS(C10-1871226)&lt;0.5,"Ergebnis stimmt - bitte als Formel eingeben!","noch nicht richtig")))</f>
        <v/>
      </c>
    </row>
    <row r="11">
      <c r="B11" s="23" t="inlineStr">
        <is>
          <t>Jahresumsatz (mit SUMME)</t>
        </is>
      </c>
      <c r="C11" s="19" t="n"/>
      <c r="H11" s="25">
        <f>IF(C11="","Kontrolle",IF(AND(_xlfn.ISFORMULA(C11),ABS(C11-1871226)&lt;0.5),"OK - richtig",IF(ABS(C11-1871226)&lt;0.5,"Ergebnis stimmt - bitte als Formel eingeben!","noch nicht richtig")))</f>
        <v/>
      </c>
    </row>
    <row r="13" ht="60" customHeight="1">
      <c r="B13" s="16" t="inlineStr">
        <is>
          <t>Aufgabe 2:  Berechne in der Spalte "Anteil am Jahr" den prozentuellen Anteil jedes Quartals am Jahresumsatz. Schreibe die Formel nur EINMAL und ziehe sie nach unten - der Bezug auf den Jahresumsatz muss dafür absolut sein.</t>
        </is>
      </c>
    </row>
    <row r="14" ht="14" customHeight="1">
      <c r="B14" s="14" t="inlineStr">
        <is>
          <t>Tipp: Zellbezug anklicken und F4 drücken macht daraus $C$10.</t>
        </is>
      </c>
    </row>
    <row r="16" ht="30" customHeight="1">
      <c r="B16" s="16" t="inlineStr">
        <is>
          <t>Aufgabe 3:  Gemischte Bezüge: Fülle die Rabattmatrix aus. Trage die Formel nur in die linke obere Zelle ein und ziehe sie nach rechts UND nach unten.</t>
        </is>
      </c>
    </row>
    <row r="17" ht="56" customHeight="1">
      <c r="B17" s="14" t="inlineStr">
        <is>
          <t>Tipp: Der Grundpreis steht immer in derselben SPALTE - also das $ vor den Spaltenbuchstaben. Der Rabattsatz steht immer in derselben ZEILE - also das $ vor die Zeilennummer. Mit F4 schaltest du durch alle vier Varianten.</t>
        </is>
      </c>
    </row>
    <row r="18">
      <c r="B18" s="11" t="inlineStr">
        <is>
          <t>Grundpreis \ Rabatt</t>
        </is>
      </c>
      <c r="C18" s="32" t="n">
        <v>0.05</v>
      </c>
      <c r="D18" s="32" t="n">
        <v>0.1</v>
      </c>
      <c r="E18" s="32" t="n">
        <v>0.15</v>
      </c>
      <c r="F18" s="32" t="n">
        <v>0.2</v>
      </c>
      <c r="H18" s="11" t="inlineStr">
        <is>
          <t>Kontrolle</t>
        </is>
      </c>
    </row>
    <row r="19">
      <c r="B19" s="33" t="n">
        <v>100</v>
      </c>
      <c r="C19" s="29" t="n"/>
      <c r="D19" s="29" t="n"/>
      <c r="E19" s="29" t="n"/>
      <c r="F19" s="29" t="n"/>
      <c r="H19" s="25">
        <f>IF(COUNTBLANK(C19:F19)&gt;0,"Kontrolle",IF(AND(ABS(C19-95.0)&lt;0.005,ABS(D19-90.0)&lt;0.005,ABS(E19-85.0)&lt;0.005,ABS(F19-80.0)&lt;0.005),"OK - richtig","noch nicht richtig"))</f>
        <v/>
      </c>
    </row>
    <row r="20">
      <c r="B20" s="33" t="n">
        <v>250</v>
      </c>
      <c r="C20" s="29" t="n"/>
      <c r="D20" s="29" t="n"/>
      <c r="E20" s="29" t="n"/>
      <c r="F20" s="29" t="n"/>
      <c r="H20" s="25">
        <f>IF(COUNTBLANK(C20:F20)&gt;0,"Kontrolle",IF(AND(ABS(C20-237.5)&lt;0.005,ABS(D20-225.0)&lt;0.005,ABS(E20-212.5)&lt;0.005,ABS(F20-200.0)&lt;0.005),"OK - richtig","noch nicht richtig"))</f>
        <v/>
      </c>
    </row>
    <row r="21">
      <c r="B21" s="33" t="n">
        <v>500</v>
      </c>
      <c r="C21" s="29" t="n"/>
      <c r="D21" s="29" t="n"/>
      <c r="E21" s="29" t="n"/>
      <c r="F21" s="29" t="n"/>
      <c r="H21" s="25">
        <f>IF(COUNTBLANK(C21:F21)&gt;0,"Kontrolle",IF(AND(ABS(C21-475.0)&lt;0.005,ABS(D21-450.0)&lt;0.005,ABS(E21-425.0)&lt;0.005,ABS(F21-400.0)&lt;0.005),"OK - richtig","noch nicht richtig"))</f>
        <v/>
      </c>
    </row>
    <row r="22">
      <c r="B22" s="33" t="n">
        <v>900</v>
      </c>
      <c r="C22" s="29" t="n"/>
      <c r="D22" s="29" t="n"/>
      <c r="E22" s="29" t="n"/>
      <c r="F22" s="29" t="n"/>
      <c r="H22" s="25">
        <f>IF(COUNTBLANK(C22:F22)&gt;0,"Kontrolle",IF(AND(ABS(C22-855.0)&lt;0.005,ABS(D22-810.0)&lt;0.005,ABS(E22-765.0)&lt;0.005,ABS(F22-720.0)&lt;0.005),"OK - richtig","noch nicht richtig"))</f>
        <v/>
      </c>
    </row>
    <row r="24" ht="28" customHeight="1">
      <c r="B24" s="14" t="inlineStr">
        <is>
          <t>Merke: A1 relativ  |  $A$1 absolut  |  A$1 Zeile fix  |  $A1 Spalte fix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B1:H26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42" customWidth="1" min="8" max="8"/>
  </cols>
  <sheetData>
    <row r="1" ht="22" customHeight="1">
      <c r="B1" s="1" t="inlineStr">
        <is>
          <t>9  Zellen und Bereiche benennen</t>
        </is>
      </c>
    </row>
    <row r="2">
      <c r="B2" s="15" t="inlineStr">
        <is>
          <t>Kapitel: Zellbezüge - Namen definieren</t>
        </is>
      </c>
    </row>
    <row r="4" ht="15" customHeight="1">
      <c r="B4" s="16" t="inlineStr">
        <is>
          <t>Aufgabe 1:  Benenne die vier Zahlenspalten - jede Spalte auf einem anderen Weg:</t>
        </is>
      </c>
    </row>
    <row r="5" ht="42" customHeight="1">
      <c r="B5" s="14" t="inlineStr">
        <is>
          <t>Tipp: 1) Adressdropdownbox links oben   2) Formeln - Namen definieren   3) Formeln - Namensmanager - Neu   4) Formeln - Aus Auswahl erstellen (mit der Kopfzeile!)</t>
        </is>
      </c>
    </row>
    <row r="6">
      <c r="C6" s="11" t="inlineStr">
        <is>
          <t>Weg_1</t>
        </is>
      </c>
      <c r="D6" s="11" t="inlineStr">
        <is>
          <t>Weg_2</t>
        </is>
      </c>
      <c r="E6" s="11" t="inlineStr">
        <is>
          <t>Weg_3</t>
        </is>
      </c>
      <c r="F6" s="11" t="inlineStr">
        <is>
          <t>Weg_4</t>
        </is>
      </c>
    </row>
    <row r="7">
      <c r="C7" s="34" t="n">
        <v>1</v>
      </c>
      <c r="D7" s="34" t="n">
        <v>12</v>
      </c>
      <c r="E7" s="34" t="n">
        <v>8</v>
      </c>
      <c r="F7" s="34" t="n">
        <v>45</v>
      </c>
    </row>
    <row r="8">
      <c r="C8" s="34" t="n">
        <v>5</v>
      </c>
      <c r="D8" s="34" t="n">
        <v>9</v>
      </c>
      <c r="E8" s="34" t="n">
        <v>64</v>
      </c>
      <c r="F8" s="34" t="n">
        <v>11</v>
      </c>
    </row>
    <row r="9">
      <c r="C9" s="34" t="n">
        <v>57</v>
      </c>
      <c r="D9" s="34" t="n">
        <v>33</v>
      </c>
      <c r="E9" s="34" t="n">
        <v>15</v>
      </c>
      <c r="F9" s="34" t="n">
        <v>6</v>
      </c>
    </row>
    <row r="10">
      <c r="C10" s="34" t="n">
        <v>4</v>
      </c>
      <c r="D10" s="34" t="n">
        <v>41</v>
      </c>
      <c r="E10" s="34" t="n">
        <v>22</v>
      </c>
      <c r="F10" s="34" t="n">
        <v>19</v>
      </c>
    </row>
    <row r="11">
      <c r="C11" s="34" t="n">
        <v>28</v>
      </c>
      <c r="D11" s="34" t="n">
        <v>7</v>
      </c>
      <c r="E11" s="34" t="n">
        <v>3</v>
      </c>
      <c r="F11" s="34" t="n">
        <v>90</v>
      </c>
    </row>
    <row r="13" ht="30" customHeight="1">
      <c r="B13" s="16" t="inlineStr">
        <is>
          <t>Aufgabe 2:  Berechne die Summe der Spalte Weg_1 - verwende in der Formel den vergebenen NAMEN statt des Zellbezugs, also z. B. =SUMME(Weg_1).</t>
        </is>
      </c>
    </row>
    <row r="14">
      <c r="B14" s="23" t="inlineStr">
        <is>
          <t>Summe Spalte Weg_1</t>
        </is>
      </c>
      <c r="G14" s="19" t="n"/>
      <c r="H14" s="25">
        <f>IF(G14="","Kontrolle",IF(AND(_xlfn.ISFORMULA(G14),ABS(G14-95)&lt;0.5),"OK - richtig",IF(ABS(G14-95)&lt;0.5,"Ergebnis stimmt - bitte als Formel eingeben!","noch nicht richtig")))</f>
        <v/>
      </c>
    </row>
    <row r="16" ht="45" customHeight="1">
      <c r="B16" s="16" t="inlineStr">
        <is>
          <t>Aufgabe 3:  Benenne die graue Zelle mit dem Umsatzsteuersatz auf den Namen MwSt und berechne damit die Bruttopreise. Die Formel lautet dann z. B. =Nettopreis*(1+MwSt).</t>
        </is>
      </c>
    </row>
    <row r="17" ht="28" customHeight="1">
      <c r="B17" s="14" t="inlineStr">
        <is>
          <t>Tipp: Namen sind selbsterklärend, gelten für die ganze Mappe und sind immer absolut - sie eignen sich daher perfekt für Konstanten.</t>
        </is>
      </c>
    </row>
    <row r="18">
      <c r="B18" s="35" t="inlineStr">
        <is>
          <t>Umsatzsteuersatz  -&gt;  Name: MwSt</t>
        </is>
      </c>
      <c r="C18" s="28" t="n">
        <v>0.2</v>
      </c>
    </row>
    <row r="20">
      <c r="B20" s="11" t="inlineStr">
        <is>
          <t>Artikel</t>
        </is>
      </c>
      <c r="C20" s="11" t="inlineStr">
        <is>
          <t>Netto in EUR</t>
        </is>
      </c>
      <c r="D20" s="11" t="inlineStr">
        <is>
          <t>Brutto in EUR</t>
        </is>
      </c>
      <c r="H20" s="11" t="inlineStr">
        <is>
          <t>Kontrolle</t>
        </is>
      </c>
    </row>
    <row r="21">
      <c r="B21" s="18" t="inlineStr">
        <is>
          <t>Notebook</t>
        </is>
      </c>
      <c r="C21" s="27" t="n">
        <v>899</v>
      </c>
      <c r="D21" s="29" t="n"/>
      <c r="H21" s="25">
        <f>IF(COUNTBLANK(D21:D24)&gt;0,"Kontrolle",IF(AND(ABS(D21-1078.8)&lt;0.005,ABS(D22-298.8)&lt;0.005,ABS(D23-95.88)&lt;0.005,ABS(D24-41.4)&lt;0.005),"OK - richtig","noch nicht richtig"))</f>
        <v/>
      </c>
    </row>
    <row r="22">
      <c r="B22" s="18" t="inlineStr">
        <is>
          <t>Monitor</t>
        </is>
      </c>
      <c r="C22" s="27" t="n">
        <v>249</v>
      </c>
      <c r="D22" s="29" t="n"/>
    </row>
    <row r="23">
      <c r="B23" s="18" t="inlineStr">
        <is>
          <t>Tastatur</t>
        </is>
      </c>
      <c r="C23" s="27" t="n">
        <v>79.90000000000001</v>
      </c>
      <c r="D23" s="29" t="n"/>
    </row>
    <row r="24">
      <c r="B24" s="18" t="inlineStr">
        <is>
          <t>Maus</t>
        </is>
      </c>
      <c r="C24" s="27" t="n">
        <v>34.5</v>
      </c>
      <c r="D24" s="29" t="n"/>
    </row>
    <row r="26" ht="42" customHeight="1">
      <c r="B26" s="14" t="inlineStr">
        <is>
          <t>Kontrolliere zum Schluss im Namensmanager (Formeln - Namensmanager), ob alle fünf Namen sauber angelegt sind - und lösche versehentlich doppelt vergebene Namen.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75B6"/>
    <outlinePr summaryBelow="1" summaryRight="1"/>
    <pageSetUpPr/>
  </sheetPr>
  <dimension ref="B1:H35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42" customWidth="1" min="8" max="8"/>
  </cols>
  <sheetData>
    <row r="1" ht="22" customHeight="1">
      <c r="B1" s="1" t="inlineStr">
        <is>
          <t>10  Formeln und Funktionen</t>
        </is>
      </c>
    </row>
    <row r="2">
      <c r="B2" s="15" t="inlineStr">
        <is>
          <t>Kapitel: Formeln und Funktionen</t>
        </is>
      </c>
    </row>
    <row r="4" ht="15" customHeight="1">
      <c r="B4" s="16" t="inlineStr">
        <is>
          <t>Aufgabe 1:  Werte die Tagesumsätze einer Woche mit den Basisfunktionen aus.</t>
        </is>
      </c>
    </row>
    <row r="5" ht="42" customHeight="1">
      <c r="B5" s="14" t="inlineStr">
        <is>
          <t>Tipp: Füge mindestens eine der Funktionen über den Funktionsassistenten ein - entweder über Formeln - Funktion einfügen oder über das Symbol fx links neben der Bearbeitungsleiste.</t>
        </is>
      </c>
    </row>
    <row r="6">
      <c r="B6" s="11" t="inlineStr">
        <is>
          <t>Wochentag</t>
        </is>
      </c>
      <c r="C6" s="11" t="inlineStr">
        <is>
          <t>Umsatz in EUR</t>
        </is>
      </c>
    </row>
    <row r="7">
      <c r="B7" s="18" t="inlineStr">
        <is>
          <t>Montag</t>
        </is>
      </c>
      <c r="C7" s="22" t="n">
        <v>1450</v>
      </c>
    </row>
    <row r="8">
      <c r="B8" s="18" t="inlineStr">
        <is>
          <t>Dienstag</t>
        </is>
      </c>
      <c r="C8" s="22" t="n">
        <v>2310</v>
      </c>
    </row>
    <row r="9">
      <c r="B9" s="18" t="inlineStr">
        <is>
          <t>Mittwoch</t>
        </is>
      </c>
      <c r="C9" s="22" t="n">
        <v>980</v>
      </c>
    </row>
    <row r="10">
      <c r="B10" s="18" t="inlineStr">
        <is>
          <t>Donnerstag</t>
        </is>
      </c>
      <c r="C10" s="22" t="n">
        <v>1725</v>
      </c>
    </row>
    <row r="11">
      <c r="B11" s="18" t="inlineStr">
        <is>
          <t>Freitag</t>
        </is>
      </c>
      <c r="C11" s="22" t="n">
        <v>3040</v>
      </c>
    </row>
    <row r="12">
      <c r="B12" s="18" t="inlineStr">
        <is>
          <t>Samstag</t>
        </is>
      </c>
      <c r="C12" s="22" t="n">
        <v>4615</v>
      </c>
    </row>
    <row r="13">
      <c r="B13" s="18" t="inlineStr">
        <is>
          <t>Sonntag</t>
        </is>
      </c>
      <c r="C13" s="22" t="n">
        <v>0</v>
      </c>
    </row>
    <row r="15">
      <c r="B15" s="11" t="inlineStr">
        <is>
          <t>Kennzahl</t>
        </is>
      </c>
      <c r="C15" s="11" t="inlineStr">
        <is>
          <t>dein Ergebnis</t>
        </is>
      </c>
      <c r="H15" s="11" t="inlineStr">
        <is>
          <t>Kontrolle</t>
        </is>
      </c>
    </row>
    <row r="16">
      <c r="B16" s="13" t="inlineStr">
        <is>
          <t>Summe (SUMME)</t>
        </is>
      </c>
      <c r="C16" s="20" t="n"/>
      <c r="H16" s="25">
        <f>IF(C16="","Kontrolle",IF(AND(_xlfn.ISFORMULA(C16),ABS(C16-14120)&lt;0.005),"OK - richtig",IF(ABS(C16-14120)&lt;0.005,"Ergebnis stimmt - bitte als Formel eingeben!","noch nicht richtig")))</f>
        <v/>
      </c>
    </row>
    <row r="17">
      <c r="B17" s="13" t="inlineStr">
        <is>
          <t>Mittelwert (MITTELWERT)</t>
        </is>
      </c>
      <c r="C17" s="20" t="n"/>
      <c r="H17" s="25">
        <f>IF(C17="","Kontrolle",IF(AND(_xlfn.ISFORMULA(C17),ABS(C17-2017.1429)&lt;0.005),"OK - richtig",IF(ABS(C17-2017.1429)&lt;0.005,"Ergebnis stimmt - bitte als Formel eingeben!","noch nicht richtig")))</f>
        <v/>
      </c>
    </row>
    <row r="18">
      <c r="B18" s="13" t="inlineStr">
        <is>
          <t>höchster Umsatz (MAX)</t>
        </is>
      </c>
      <c r="C18" s="20" t="n"/>
      <c r="H18" s="25">
        <f>IF(C18="","Kontrolle",IF(AND(_xlfn.ISFORMULA(C18),ABS(C18-4615)&lt;0.005),"OK - richtig",IF(ABS(C18-4615)&lt;0.005,"Ergebnis stimmt - bitte als Formel eingeben!","noch nicht richtig")))</f>
        <v/>
      </c>
    </row>
    <row r="19">
      <c r="B19" s="13" t="inlineStr">
        <is>
          <t>niedrigster Umsatz (MIN)</t>
        </is>
      </c>
      <c r="C19" s="20" t="n"/>
      <c r="H19" s="25">
        <f>IF(C19="","Kontrolle",IF(AND(_xlfn.ISFORMULA(C19),ABS(C19-0)&lt;0.005),"OK - richtig",IF(ABS(C19-0)&lt;0.005,"Ergebnis stimmt - bitte als Formel eingeben!","noch nicht richtig")))</f>
        <v/>
      </c>
    </row>
    <row r="20">
      <c r="B20" s="13" t="inlineStr">
        <is>
          <t>Anzahl der Zahlenwerte (ANZAHL)</t>
        </is>
      </c>
      <c r="C20" s="20" t="n"/>
      <c r="H20" s="25">
        <f>IF(C20="","Kontrolle",IF(AND(_xlfn.ISFORMULA(C20),ABS(C20-7)&lt;0.005),"OK - richtig",IF(ABS(C20-7)&lt;0.005,"Ergebnis stimmt - bitte als Formel eingeben!","noch nicht richtig")))</f>
        <v/>
      </c>
    </row>
    <row r="22" ht="30" customHeight="1">
      <c r="B22" s="16" t="inlineStr">
        <is>
          <t>Aufgabe 2:  Manche Funktionen brauchen gar keinen Parameter. Lass dir die Kreiszahl Pi mit der Funktion PI anzeigen.</t>
        </is>
      </c>
    </row>
    <row r="23" ht="14" customHeight="1">
      <c r="B23" s="14" t="inlineStr">
        <is>
          <t>Tipp: Auch ohne Parameter muss die Klammer geschrieben werden: =PI()</t>
        </is>
      </c>
    </row>
    <row r="24">
      <c r="B24" s="13" t="inlineStr">
        <is>
          <t>Kreiszahl Pi</t>
        </is>
      </c>
      <c r="C24" s="36" t="n"/>
      <c r="H24" s="25">
        <f>IF(C24="","Kontrolle",IF(AND(_xlfn.ISFORMULA(C24),ABS(C24-3.14159265)&lt;1e-05),"OK - richtig",IF(ABS(C24-3.14159265)&lt;1e-05,"Ergebnis stimmt - bitte als Formel eingeben!","noch nicht richtig")))</f>
        <v/>
      </c>
    </row>
    <row r="26" ht="30" customHeight="1">
      <c r="B26" s="16" t="inlineStr">
        <is>
          <t>Aufgabe 3:  Parameter können auch direkt als Zahl übergeben werden: Bilde mit der Funktion SUMME die Summe der Zahlen 20 und 20 - ohne jeden Zellbezug.</t>
        </is>
      </c>
    </row>
    <row r="27" ht="14" customHeight="1">
      <c r="B27" s="14" t="inlineStr">
        <is>
          <t>Tipp: Mehrere Parameter werden durch ein Semikolon getrennt: =SUMME(20;20)</t>
        </is>
      </c>
    </row>
    <row r="28">
      <c r="B28" s="13" t="inlineStr">
        <is>
          <t>SUMME von 20 und 20</t>
        </is>
      </c>
      <c r="C28" s="19" t="n"/>
      <c r="H28" s="25">
        <f>IF(C28="","Kontrolle",IF(AND(_xlfn.ISFORMULA(C28),C28=40),"OK - richtig",IF(C28=40,"Ergebnis stimmt - bitte als Formel eingeben!","noch nicht richtig")))</f>
        <v/>
      </c>
    </row>
    <row r="30" ht="30" customHeight="1">
      <c r="B30" s="16" t="inlineStr">
        <is>
          <t>Aufgabe 4:  Text als Parameter muss in Anführungszeichen stehen. Wandle den Text DATA CAMPUS mit der Funktion KLEIN in Kleinbuchstaben um.</t>
        </is>
      </c>
    </row>
    <row r="31">
      <c r="B31" s="13" t="inlineStr">
        <is>
          <t>KLEIN("DATA CAMPUS")</t>
        </is>
      </c>
      <c r="C31" s="4" t="n"/>
      <c r="H31" s="25">
        <f>IF(C31="","Kontrolle",IF(AND(_xlfn.ISFORMULA(C31),EXACT(C31,"data campus")),"OK - richtig",IF(EXACT(C31,"data campus"),"Ergebnis stimmt - bitte als Formel eingeben!","noch nicht richtig")))</f>
        <v/>
      </c>
    </row>
    <row r="33" ht="30" customHeight="1">
      <c r="B33" s="16" t="inlineStr">
        <is>
          <t>Aufgabe 5:  Runde den Mittelwert der Wochenumsätze auf zwei Nachkommastellen. Verschachtle dazu zwei Funktionen ineinander.</t>
        </is>
      </c>
    </row>
    <row r="34" ht="28" customHeight="1">
      <c r="B34" s="14" t="inlineStr">
        <is>
          <t>Tipp: Eine Funktion darf als Parameter einer anderen Funktion stehen: =RUNDEN(MITTELWERT(...);2)</t>
        </is>
      </c>
    </row>
    <row r="35">
      <c r="B35" s="13" t="inlineStr">
        <is>
          <t>gerundeter Mittelwert</t>
        </is>
      </c>
      <c r="C35" s="29" t="n"/>
      <c r="H35" s="25">
        <f>IF(C35="","Kontrolle",IF(AND(_xlfn.ISFORMULA(C35),ABS(C35-2017.14)&lt;0.005),"OK - richtig",IF(ABS(C35-2017.14)&lt;0.005,"Ergebnis stimmt - bitte als Formel eingeben!","noch nicht richtig")))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/>
  </sheetPr>
  <dimension ref="B1:J28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4" customWidth="1" min="9" max="9"/>
    <col width="52" customWidth="1" min="10" max="10"/>
  </cols>
  <sheetData>
    <row r="1" ht="22" customHeight="1">
      <c r="B1" s="1" t="inlineStr">
        <is>
          <t>11  Praxisfall: Angebot eines Radsport-Händlers</t>
        </is>
      </c>
    </row>
    <row r="2">
      <c r="B2" s="15" t="inlineStr">
        <is>
          <t>Abschlussaufgabe - hier kommt alles aus dem Kapitel Grundlagen zusammen</t>
        </is>
      </c>
    </row>
    <row r="4" ht="56" customHeight="1">
      <c r="B4" s="14" t="inlineStr">
        <is>
          <t>Ein Radsport-Händler stellt ein Angebot zusammen. Alle grauen Werte sind vorgegeben, alle gelben Zellen berechnest du mit Formeln. Verwende dort, wo es sinnvoll ist, absolute Bezüge bzw. Namen - so bleibt das Angebot auch dann korrekt, wenn sich Rabatt oder Steuersatz ändern.</t>
        </is>
      </c>
    </row>
    <row r="6">
      <c r="B6" s="35" t="inlineStr">
        <is>
          <t>Rabattsatz</t>
        </is>
      </c>
      <c r="C6" s="28" t="n">
        <v>0.08</v>
      </c>
      <c r="D6" s="15" t="inlineStr">
        <is>
          <t>-&gt; in der Rabattformel absolut referenzieren ($C$6)</t>
        </is>
      </c>
    </row>
    <row r="7">
      <c r="B7" s="35" t="inlineStr">
        <is>
          <t>Umsatzsteuer</t>
        </is>
      </c>
      <c r="C7" s="28" t="n">
        <v>0.2</v>
      </c>
      <c r="D7" s="15" t="inlineStr">
        <is>
          <t>-&gt; benenne diese Zelle mit dem Namen USt</t>
        </is>
      </c>
    </row>
    <row r="9" ht="30" customHeight="1">
      <c r="B9" s="11" t="inlineStr">
        <is>
          <t>Artikel</t>
        </is>
      </c>
      <c r="C9" s="11" t="inlineStr">
        <is>
          <t>Menge</t>
        </is>
      </c>
      <c r="D9" s="11" t="inlineStr">
        <is>
          <t>Einzelpreis</t>
        </is>
      </c>
      <c r="E9" s="11" t="inlineStr">
        <is>
          <t>Zwischensumme</t>
        </is>
      </c>
      <c r="F9" s="11" t="inlineStr">
        <is>
          <t>Rabatt</t>
        </is>
      </c>
      <c r="G9" s="11" t="inlineStr">
        <is>
          <t>Netto</t>
        </is>
      </c>
      <c r="H9" s="11" t="inlineStr">
        <is>
          <t>Großposten?</t>
        </is>
      </c>
      <c r="I9" s="11" t="inlineStr">
        <is>
          <t>Kontrolle</t>
        </is>
      </c>
    </row>
    <row r="10">
      <c r="B10" s="18" t="inlineStr">
        <is>
          <t>Rennrad Carbon</t>
        </is>
      </c>
      <c r="C10" s="22" t="n">
        <v>2</v>
      </c>
      <c r="D10" s="27" t="n">
        <v>2499</v>
      </c>
      <c r="E10" s="29" t="n"/>
      <c r="F10" s="29" t="n"/>
      <c r="G10" s="29" t="n"/>
      <c r="H10" s="4" t="n"/>
      <c r="I10" s="25">
        <f>IF(COUNTBLANK(E10:E17)&gt;0,"Kontrolle",IF(AND(ABS(E10-4998.0)&lt;0.005,ABS(E11-719.2)&lt;0.005,ABS(E12-714.0)&lt;0.005,ABS(E13-958.8)&lt;0.005,ABS(E14-524.25)&lt;0.005,ABS(E15-498.0)&lt;0.005,ABS(E16-276.0)&lt;0.005,ABS(E17-270.0)&lt;0.005),"OK - richtig","noch nicht richtig"))</f>
        <v/>
      </c>
      <c r="J10" s="15" t="inlineStr">
        <is>
          <t>&lt;- prüft die ganze Spalte "Zwischensumme"  (= Menge * Einzelpreis)</t>
        </is>
      </c>
    </row>
    <row r="11">
      <c r="B11" s="18" t="inlineStr">
        <is>
          <t>Fahrradhelm</t>
        </is>
      </c>
      <c r="C11" s="22" t="n">
        <v>8</v>
      </c>
      <c r="D11" s="27" t="n">
        <v>89.90000000000001</v>
      </c>
      <c r="E11" s="29" t="n"/>
      <c r="F11" s="29" t="n"/>
      <c r="G11" s="29" t="n"/>
      <c r="H11" s="4" t="n"/>
      <c r="I11" s="25">
        <f>IF(COUNTBLANK(F10:F17)&gt;0,"Kontrolle",IF(AND(ABS(F10-399.84)&lt;0.005,ABS(F11-57.536)&lt;0.005,ABS(F12-57.12)&lt;0.005,ABS(F13-76.704)&lt;0.005,ABS(F14-41.94)&lt;0.005,ABS(F15-39.84)&lt;0.005,ABS(F16-22.08)&lt;0.005,ABS(F17-21.6)&lt;0.005),"OK - richtig","noch nicht richtig"))</f>
        <v/>
      </c>
      <c r="J11" s="15" t="inlineStr">
        <is>
          <t>&lt;- prüft die ganze Spalte "Rabatt"  (= Zwischensumme * absoluter Bezug auf den Rabattsatz)</t>
        </is>
      </c>
    </row>
    <row r="12">
      <c r="B12" s="18" t="inlineStr">
        <is>
          <t>Trikot</t>
        </is>
      </c>
      <c r="C12" s="22" t="n">
        <v>12</v>
      </c>
      <c r="D12" s="27" t="n">
        <v>59.5</v>
      </c>
      <c r="E12" s="29" t="n"/>
      <c r="F12" s="29" t="n"/>
      <c r="G12" s="29" t="n"/>
      <c r="H12" s="4" t="n"/>
      <c r="I12" s="25">
        <f>IF(COUNTBLANK(G10:G17)&gt;0,"Kontrolle",IF(AND(ABS(G10-4598.16)&lt;0.005,ABS(G11-661.664)&lt;0.005,ABS(G12-656.88)&lt;0.005,ABS(G13-882.096)&lt;0.005,ABS(G14-482.31)&lt;0.005,ABS(G15-458.16)&lt;0.005,ABS(G16-253.92)&lt;0.005,ABS(G17-248.4)&lt;0.005),"OK - richtig","noch nicht richtig"))</f>
        <v/>
      </c>
      <c r="J12" s="15" t="inlineStr">
        <is>
          <t>&lt;- prüft die ganze Spalte "Netto"  (= Zwischensumme - Rabatt)</t>
        </is>
      </c>
    </row>
    <row r="13">
      <c r="B13" s="18" t="inlineStr">
        <is>
          <t>Radhose</t>
        </is>
      </c>
      <c r="C13" s="22" t="n">
        <v>12</v>
      </c>
      <c r="D13" s="27" t="n">
        <v>79.90000000000001</v>
      </c>
      <c r="E13" s="29" t="n"/>
      <c r="F13" s="29" t="n"/>
      <c r="G13" s="29" t="n"/>
      <c r="H13" s="4" t="n"/>
      <c r="I13" s="25">
        <f>IF(COUNTBLANK(H10:H17)&gt;0,"Kontrolle",IF(AND(H10=FALSE,H11=FALSE,H12=FALSE,H13=FALSE,H14=TRUE,H15=TRUE,H16=TRUE,H17=TRUE),"OK - richtig","noch nicht richtig"))</f>
        <v/>
      </c>
      <c r="J13" s="15" t="inlineStr">
        <is>
          <t>&lt;- prüft die ganze Spalte "Großposten?"  (= Menge &gt;= 15, liefert WAHR/FALSCH)</t>
        </is>
      </c>
    </row>
    <row r="14">
      <c r="B14" s="18" t="inlineStr">
        <is>
          <t>Fahrradschloss</t>
        </is>
      </c>
      <c r="C14" s="22" t="n">
        <v>15</v>
      </c>
      <c r="D14" s="27" t="n">
        <v>34.95</v>
      </c>
      <c r="E14" s="29" t="n"/>
      <c r="F14" s="29" t="n"/>
      <c r="G14" s="29" t="n"/>
      <c r="H14" s="4" t="n"/>
    </row>
    <row r="15">
      <c r="B15" s="18" t="inlineStr">
        <is>
          <t>Multitool</t>
        </is>
      </c>
      <c r="C15" s="22" t="n">
        <v>20</v>
      </c>
      <c r="D15" s="27" t="n">
        <v>24.9</v>
      </c>
      <c r="E15" s="29" t="n"/>
      <c r="F15" s="29" t="n"/>
      <c r="G15" s="29" t="n"/>
      <c r="H15" s="4" t="n"/>
    </row>
    <row r="16">
      <c r="B16" s="18" t="inlineStr">
        <is>
          <t>Trinkflasche</t>
        </is>
      </c>
      <c r="C16" s="22" t="n">
        <v>40</v>
      </c>
      <c r="D16" s="27" t="n">
        <v>6.9</v>
      </c>
      <c r="E16" s="29" t="n"/>
      <c r="F16" s="29" t="n"/>
      <c r="G16" s="29" t="n"/>
      <c r="H16" s="4" t="n"/>
    </row>
    <row r="17">
      <c r="B17" s="18" t="inlineStr">
        <is>
          <t>Ersatzschlauch</t>
        </is>
      </c>
      <c r="C17" s="22" t="n">
        <v>60</v>
      </c>
      <c r="D17" s="27" t="n">
        <v>4.5</v>
      </c>
      <c r="E17" s="29" t="n"/>
      <c r="F17" s="29" t="n"/>
      <c r="G17" s="29" t="n"/>
      <c r="H17" s="4" t="n"/>
    </row>
    <row r="19">
      <c r="B19" s="11" t="inlineStr">
        <is>
          <t>Kennzahl</t>
        </is>
      </c>
      <c r="G19" s="11" t="inlineStr">
        <is>
          <t>Ergebnis</t>
        </is>
      </c>
      <c r="I19" s="11" t="inlineStr">
        <is>
          <t>Kontrolle</t>
        </is>
      </c>
    </row>
    <row r="20">
      <c r="B20" s="13" t="inlineStr">
        <is>
          <t>Nettosumme (SUMME)</t>
        </is>
      </c>
      <c r="G20" s="29" t="n"/>
      <c r="I20" s="25">
        <f>IF(G20="","Kontrolle",IF(AND(_xlfn.ISFORMULA(G20),ABS(G20-8241.59)&lt;0.01),"OK - richtig",IF(ABS(G20-8241.59)&lt;0.01,"Ergebnis stimmt - bitte als Formel eingeben!","noch nicht richtig")))</f>
        <v/>
      </c>
    </row>
    <row r="21">
      <c r="B21" s="13" t="inlineStr">
        <is>
          <t>Umsatzsteuer (mit dem Namen USt)</t>
        </is>
      </c>
      <c r="G21" s="29" t="n"/>
      <c r="I21" s="25">
        <f>IF(G21="","Kontrolle",IF(AND(_xlfn.ISFORMULA(G21),ABS(G21-1648.318)&lt;0.01),"OK - richtig",IF(ABS(G21-1648.318)&lt;0.01,"Ergebnis stimmt - bitte als Formel eingeben!","noch nicht richtig")))</f>
        <v/>
      </c>
    </row>
    <row r="22">
      <c r="B22" s="13" t="inlineStr">
        <is>
          <t>Rechnungsbetrag brutto</t>
        </is>
      </c>
      <c r="G22" s="29" t="n"/>
      <c r="I22" s="25">
        <f>IF(G22="","Kontrolle",IF(AND(_xlfn.ISFORMULA(G22),ABS(G22-9889.908)&lt;0.01),"OK - richtig",IF(ABS(G22-9889.908)&lt;0.01,"Ergebnis stimmt - bitte als Formel eingeben!","noch nicht richtig")))</f>
        <v/>
      </c>
    </row>
    <row r="23">
      <c r="B23" s="13" t="inlineStr">
        <is>
          <t>Anzahl der Positionen (ANZAHL)</t>
        </is>
      </c>
      <c r="G23" s="19" t="n"/>
      <c r="I23" s="25">
        <f>IF(G23="","Kontrolle",IF(AND(_xlfn.ISFORMULA(G23),ABS(G23-8)&lt;0.01),"OK - richtig",IF(ABS(G23-8)&lt;0.01,"Ergebnis stimmt - bitte als Formel eingeben!","noch nicht richtig")))</f>
        <v/>
      </c>
    </row>
    <row r="24">
      <c r="B24" s="13" t="inlineStr">
        <is>
          <t>teuerste Position netto (MAX)</t>
        </is>
      </c>
      <c r="G24" s="29" t="n"/>
      <c r="I24" s="25">
        <f>IF(G24="","Kontrolle",IF(AND(_xlfn.ISFORMULA(G24),ABS(G24-4598.16)&lt;0.01),"OK - richtig",IF(ABS(G24-4598.16)&lt;0.01,"Ergebnis stimmt - bitte als Formel eingeben!","noch nicht richtig")))</f>
        <v/>
      </c>
    </row>
    <row r="25">
      <c r="B25" s="13" t="inlineStr">
        <is>
          <t>günstigste Position netto (MIN)</t>
        </is>
      </c>
      <c r="G25" s="29" t="n"/>
      <c r="I25" s="25">
        <f>IF(G25="","Kontrolle",IF(AND(_xlfn.ISFORMULA(G25),ABS(G25-248.4)&lt;0.01),"OK - richtig",IF(ABS(G25-248.4)&lt;0.01,"Ergebnis stimmt - bitte als Formel eingeben!","noch nicht richtig")))</f>
        <v/>
      </c>
    </row>
    <row r="26">
      <c r="B26" s="13" t="inlineStr">
        <is>
          <t>durchschnittliche Position (MITTELWERT)</t>
        </is>
      </c>
      <c r="G26" s="29" t="n"/>
      <c r="I26" s="25">
        <f>IF(G26="","Kontrolle",IF(AND(_xlfn.ISFORMULA(G26),ABS(G26-1030.1988)&lt;0.01),"OK - richtig",IF(ABS(G26-1030.1988)&lt;0.01,"Ergebnis stimmt - bitte als Formel eingeben!","noch nicht richtig")))</f>
        <v/>
      </c>
    </row>
    <row r="28" ht="42" customHeight="1">
      <c r="B28" s="14" t="inlineStr">
        <is>
          <t>Zusatz: Ändere den Rabattsatz auf 12 %. Wenn du sauber mit absoluten Bezügen gearbeitet hast, rechnet sich das gesamte Angebot automatisch neu - nur die Kontrollspalte meldet dann natürlich Abweichungen.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48235"/>
    <outlinePr summaryBelow="1" summaryRight="1"/>
    <pageSetUpPr/>
  </sheetPr>
  <dimension ref="B1:D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62" customWidth="1" min="3" max="3"/>
    <col width="96" customWidth="1" min="4" max="4"/>
  </cols>
  <sheetData>
    <row r="1" ht="22" customHeight="1">
      <c r="B1" s="1" t="inlineStr">
        <is>
          <t>Lösungen</t>
        </is>
      </c>
    </row>
    <row r="2">
      <c r="B2" s="15" t="inlineStr">
        <is>
          <t>Nur nachsehen, wenn du wirklich nicht weiterkommst!</t>
        </is>
      </c>
    </row>
    <row r="4">
      <c r="B4" s="11" t="inlineStr">
        <is>
          <t>Arbeitsblatt</t>
        </is>
      </c>
      <c r="C4" s="11" t="inlineStr">
        <is>
          <t>Aufgabe</t>
        </is>
      </c>
      <c r="D4" s="11" t="inlineStr">
        <is>
          <t>Lösung</t>
        </is>
      </c>
    </row>
    <row r="5" ht="14" customHeight="1">
      <c r="B5" s="12" t="inlineStr">
        <is>
          <t>1 Oberfläche</t>
        </is>
      </c>
      <c r="C5" s="13" t="inlineStr">
        <is>
          <t>Hierarchie</t>
        </is>
      </c>
      <c r="D5" s="37" t="inlineStr">
        <is>
          <t>Zellen / Zeilen &amp; Spalten / Arbeitsblatt / Arbeitsmappe / Excel-Applikation</t>
        </is>
      </c>
    </row>
    <row r="6" ht="28" customHeight="1">
      <c r="B6" s="12" t="inlineStr"/>
      <c r="C6" s="13" t="inlineStr">
        <is>
          <t>Begriffe</t>
        </is>
      </c>
      <c r="D6" s="37" t="inlineStr">
        <is>
          <t>Ribbon=Menüband, Formula Bar=Bearbeitungsleiste, Status Bar=Statusleiste, Quick Access Toolbar=Schnellzugriff, Worksheet=Arbeitsblatt, Workbook=Arbeitsmappe</t>
        </is>
      </c>
    </row>
    <row r="7" ht="14" customHeight="1">
      <c r="B7" s="12" t="inlineStr"/>
      <c r="C7" s="13" t="inlineStr">
        <is>
          <t>Größe</t>
        </is>
      </c>
      <c r="D7" s="37" t="inlineStr">
        <is>
          <t>1.048.576 Zeilen (2^20), 16.384 Spalten (2^14), letzte Spalte XFD</t>
        </is>
      </c>
    </row>
    <row r="8" ht="14" customHeight="1">
      <c r="B8" s="12" t="inlineStr"/>
      <c r="C8" s="13" t="inlineStr">
        <is>
          <t>Statusleiste</t>
        </is>
      </c>
      <c r="D8" s="37" t="inlineStr">
        <is>
          <t>Summe 295 / Anzahl 8 / Mittelwert 36.875</t>
        </is>
      </c>
    </row>
    <row r="9" ht="14" customHeight="1">
      <c r="B9" s="12" t="inlineStr">
        <is>
          <t>2 Markieren</t>
        </is>
      </c>
      <c r="C9" s="13" t="inlineStr">
        <is>
          <t>Statusleiste</t>
        </is>
      </c>
      <c r="D9" s="37" t="inlineStr">
        <is>
          <t>Summe 16.535 / Anzahl 10</t>
        </is>
      </c>
    </row>
    <row r="10" ht="14" customHeight="1">
      <c r="B10" s="12" t="inlineStr">
        <is>
          <t>3 Dateneingabe</t>
        </is>
      </c>
      <c r="C10" s="13" t="inlineStr">
        <is>
          <t>Datenformate</t>
        </is>
      </c>
      <c r="D10" s="37" t="inlineStr">
        <is>
          <t>123 (Zahl, rechtsbündig), ABC (Text, linksbündig), WAHR (Wahrheitswert, zentriert)</t>
        </is>
      </c>
    </row>
    <row r="11" ht="14" customHeight="1">
      <c r="B11" s="12" t="inlineStr"/>
      <c r="C11" s="13" t="inlineStr">
        <is>
          <t>Text statt Formel</t>
        </is>
      </c>
      <c r="D11" s="37" t="inlineStr">
        <is>
          <t>'=2+2   (Apostroph davor)</t>
        </is>
      </c>
    </row>
    <row r="12" ht="14" customHeight="1">
      <c r="B12" s="12" t="inlineStr">
        <is>
          <t>4 Zeilen+Spalten</t>
        </is>
      </c>
      <c r="C12" s="13" t="inlineStr">
        <is>
          <t>Lösungswort</t>
        </is>
      </c>
      <c r="D12" s="37" t="inlineStr">
        <is>
          <t>TABELLENSTRUKTUR (Spalte P) / versteckte Zahl 4711</t>
        </is>
      </c>
    </row>
    <row r="13" ht="14" customHeight="1">
      <c r="B13" s="12" t="inlineStr">
        <is>
          <t>5 Navigation</t>
        </is>
      </c>
      <c r="C13" s="13" t="inlineStr">
        <is>
          <t>Lösungswort</t>
        </is>
      </c>
      <c r="D13" s="37" t="inlineStr">
        <is>
          <t>NAVIGATION (Zelle M46) / Zahl in M45 = 2187</t>
        </is>
      </c>
    </row>
    <row r="14" ht="14" customHeight="1">
      <c r="B14" s="12" t="inlineStr">
        <is>
          <t>6 Rechenoperatoren</t>
        </is>
      </c>
      <c r="C14" s="13" t="inlineStr">
        <is>
          <t>Formeln</t>
        </is>
      </c>
      <c r="D14" s="37" t="inlineStr">
        <is>
          <t>=2+6 | =9-4 | =5*7 | =18/5 | =3^3 | =25^(1/2) | =(2+4)*(3+5) | =2+3*4</t>
        </is>
      </c>
    </row>
    <row r="15" ht="14" customHeight="1">
      <c r="B15" s="12" t="inlineStr"/>
      <c r="C15" s="13" t="inlineStr">
        <is>
          <t>Bruttopreis</t>
        </is>
      </c>
      <c r="D15" s="37" t="inlineStr">
        <is>
          <t>=Nettopreis*(1+Steuersatz)   -&gt;  298,80</t>
        </is>
      </c>
    </row>
    <row r="16" ht="28" customHeight="1">
      <c r="B16" s="12" t="inlineStr">
        <is>
          <t>7 Vergleichsoperat.</t>
        </is>
      </c>
      <c r="C16" s="13" t="inlineStr">
        <is>
          <t>Formeln</t>
        </is>
      </c>
      <c r="D16" s="37" t="inlineStr">
        <is>
          <t>=WertA=WertB | =WertA&lt;&gt;WertB | =WertA&lt;WertB | =WertA&gt;WertB | =WertA&lt;=WertB | =WertA&gt;=WertB  (jeweils auf die grauen Zellen der Zeile verweisen)</t>
        </is>
      </c>
    </row>
    <row r="17" ht="14" customHeight="1">
      <c r="B17" s="12" t="inlineStr">
        <is>
          <t>8 Zellbezüge</t>
        </is>
      </c>
      <c r="C17" s="13" t="inlineStr">
        <is>
          <t>Jahresumsatz</t>
        </is>
      </c>
      <c r="D17" s="37" t="inlineStr">
        <is>
          <t>=C+C+C+C  bzw.  =SUMME(Q1:Q4)   -&gt;  1.871.226</t>
        </is>
      </c>
    </row>
    <row r="18" ht="28" customHeight="1">
      <c r="B18" s="12" t="inlineStr"/>
      <c r="C18" s="13" t="inlineStr">
        <is>
          <t>Anteil</t>
        </is>
      </c>
      <c r="D18" s="37" t="inlineStr">
        <is>
          <t>=Quartalsumsatz/$Jahresumsatz$   -  Jahresumsatz mit F4 absolut setzen, dann nach unten ziehen</t>
        </is>
      </c>
    </row>
    <row r="19" ht="28" customHeight="1">
      <c r="B19" s="12" t="inlineStr"/>
      <c r="C19" s="13" t="inlineStr">
        <is>
          <t>Rabattmatrix</t>
        </is>
      </c>
      <c r="D19" s="37" t="inlineStr">
        <is>
          <t>=$B5*(1-C$4)   -  Spalte des Grundpreises und Zeile des Rabattsatzes fixieren, dann nach rechts und nach unten ziehen</t>
        </is>
      </c>
    </row>
    <row r="20" ht="14" customHeight="1">
      <c r="B20" s="12" t="inlineStr">
        <is>
          <t>9 Namen</t>
        </is>
      </c>
      <c r="C20" s="13" t="inlineStr">
        <is>
          <t>Summe über Namen</t>
        </is>
      </c>
      <c r="D20" s="37" t="inlineStr">
        <is>
          <t>=SUMME(Weg_1)   -&gt;  95</t>
        </is>
      </c>
    </row>
    <row r="21" ht="14" customHeight="1">
      <c r="B21" s="12" t="inlineStr"/>
      <c r="C21" s="13" t="inlineStr">
        <is>
          <t>Bruttopreise</t>
        </is>
      </c>
      <c r="D21" s="37" t="inlineStr">
        <is>
          <t>=Nettopreis*(1+MwSt)   -&gt;  1.078,80 / 298,80 / 95,88 / 41,40</t>
        </is>
      </c>
    </row>
    <row r="22" ht="28" customHeight="1">
      <c r="B22" s="12" t="inlineStr">
        <is>
          <t>10 Funktionen</t>
        </is>
      </c>
      <c r="C22" s="13" t="inlineStr">
        <is>
          <t>Basisfunktionen</t>
        </is>
      </c>
      <c r="D22" s="37" t="inlineStr">
        <is>
          <t>=SUMME(Bereich) | =MITTELWERT(Bereich) | =MAX(Bereich) | =MIN(Bereich) | =ANZAHL(Bereich)   -&gt;  14.120 / 2.017,14 / 4.615 / 0 / 7</t>
        </is>
      </c>
    </row>
    <row r="23" ht="14" customHeight="1">
      <c r="B23" s="12" t="inlineStr"/>
      <c r="C23" s="13" t="inlineStr">
        <is>
          <t>Pi</t>
        </is>
      </c>
      <c r="D23" s="37" t="inlineStr">
        <is>
          <t>=PI()</t>
        </is>
      </c>
    </row>
    <row r="24" ht="14" customHeight="1">
      <c r="B24" s="12" t="inlineStr"/>
      <c r="C24" s="13" t="inlineStr">
        <is>
          <t>Direkte Parameter</t>
        </is>
      </c>
      <c r="D24" s="37" t="inlineStr">
        <is>
          <t>=SUMME(20;20)</t>
        </is>
      </c>
    </row>
    <row r="25" ht="14" customHeight="1">
      <c r="B25" s="12" t="inlineStr"/>
      <c r="C25" s="13" t="inlineStr">
        <is>
          <t>Text</t>
        </is>
      </c>
      <c r="D25" s="37" t="inlineStr">
        <is>
          <t>=KLEIN("DATA CAMPUS")</t>
        </is>
      </c>
    </row>
    <row r="26" ht="14" customHeight="1">
      <c r="B26" s="12" t="inlineStr"/>
      <c r="C26" s="13" t="inlineStr">
        <is>
          <t>Verschachtelt</t>
        </is>
      </c>
      <c r="D26" s="37" t="inlineStr">
        <is>
          <t>=RUNDEN(MITTELWERT(Bereich);2)   -&gt;  2.017,14</t>
        </is>
      </c>
    </row>
    <row r="27" ht="14" customHeight="1">
      <c r="B27" s="12" t="inlineStr">
        <is>
          <t>11 Praxisfall</t>
        </is>
      </c>
      <c r="C27" s="13" t="inlineStr">
        <is>
          <t>Zwischensumme</t>
        </is>
      </c>
      <c r="D27" s="37" t="inlineStr">
        <is>
          <t>=Menge*Einzelpreis   (relative Bezüge, nach unten ziehen)</t>
        </is>
      </c>
    </row>
    <row r="28" ht="14" customHeight="1">
      <c r="B28" s="12" t="inlineStr"/>
      <c r="C28" s="13" t="inlineStr">
        <is>
          <t>Rabatt</t>
        </is>
      </c>
      <c r="D28" s="37" t="inlineStr">
        <is>
          <t>=Zwischensumme*$Rabattsatz$   (Rabattsatz mit F4 absolut setzen)</t>
        </is>
      </c>
    </row>
    <row r="29" ht="14" customHeight="1">
      <c r="B29" s="12" t="inlineStr"/>
      <c r="C29" s="13" t="inlineStr">
        <is>
          <t>Netto</t>
        </is>
      </c>
      <c r="D29" s="37" t="inlineStr">
        <is>
          <t>=Zwischensumme-Rabatt</t>
        </is>
      </c>
    </row>
    <row r="30" ht="14" customHeight="1">
      <c r="B30" s="12" t="inlineStr"/>
      <c r="C30" s="13" t="inlineStr">
        <is>
          <t>Großposten?</t>
        </is>
      </c>
      <c r="D30" s="37" t="inlineStr">
        <is>
          <t>=Menge&gt;=15   -&gt;  liefert WAHR oder FALSCH</t>
        </is>
      </c>
    </row>
    <row r="31" ht="14" customHeight="1">
      <c r="B31" s="12" t="inlineStr"/>
      <c r="C31" s="13" t="inlineStr">
        <is>
          <t>Nettosumme</t>
        </is>
      </c>
      <c r="D31" s="37" t="inlineStr">
        <is>
          <t>=SUMME(Spalte Netto)   -&gt;  8.241,59</t>
        </is>
      </c>
    </row>
    <row r="32" ht="14" customHeight="1">
      <c r="B32" s="12" t="inlineStr"/>
      <c r="C32" s="13" t="inlineStr">
        <is>
          <t>Umsatzsteuer</t>
        </is>
      </c>
      <c r="D32" s="37" t="inlineStr">
        <is>
          <t>=Nettosumme*USt   -&gt;  1.648,32</t>
        </is>
      </c>
    </row>
    <row r="33" ht="14" customHeight="1">
      <c r="B33" s="12" t="inlineStr"/>
      <c r="C33" s="13" t="inlineStr">
        <is>
          <t>Brutto</t>
        </is>
      </c>
      <c r="D33" s="37" t="inlineStr">
        <is>
          <t>=Nettosumme+Umsatzsteuer   -&gt;  9.889,91</t>
        </is>
      </c>
    </row>
    <row r="34" ht="14" customHeight="1">
      <c r="B34" s="12" t="inlineStr"/>
      <c r="C34" s="13" t="inlineStr">
        <is>
          <t>Kennzahlen</t>
        </is>
      </c>
      <c r="D34" s="37" t="inlineStr">
        <is>
          <t>=ANZAHL(...) | =MAX(...) | =MIN(...) | =MITTELWERT(...)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2026-08-21T07:10:25Z</dcterms:created>
  <dcterms:modified xsi:type="dcterms:W3CDTF">2026-08-21T07:10:25Z</dcterms:modified>
</cp:coreProperties>
</file>