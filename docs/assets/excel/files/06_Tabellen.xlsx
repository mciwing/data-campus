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1 Erstellen" sheetId="2" state="visible" r:id="rId2"/>
    <sheet name="Muster Tabelle" sheetId="3" state="visible" r:id="rId3"/>
    <sheet name="2 Name+Bezüge" sheetId="4" state="visible" r:id="rId4"/>
    <sheet name="3 Ergebniszeile" sheetId="5" state="visible" r:id="rId5"/>
    <sheet name="4 Datenschnitt" sheetId="6" state="visible" r:id="rId6"/>
    <sheet name="5 Ändern" sheetId="7" state="visible" r:id="rId7"/>
    <sheet name="6 Praxisfall" sheetId="8" state="visible" r:id="rId8"/>
    <sheet name="Lösung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b val="1"/>
      <sz val="11"/>
    </font>
    <font>
      <color rgb="00375623"/>
      <sz val="10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3" borderId="2" pivotButton="0" quotePrefix="0" xfId="0"/>
    <xf numFmtId="3" fontId="0" fillId="3" borderId="2" pivotButton="0" quotePrefix="0" xfId="0"/>
    <xf numFmtId="0" fontId="0" fillId="0" borderId="2" pivotButton="0" quotePrefix="0" xfId="0"/>
    <xf numFmtId="3" fontId="0" fillId="2" borderId="1" pivotButton="0" quotePrefix="0" xfId="0"/>
    <xf numFmtId="0" fontId="8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4" fontId="0" fillId="2" borderId="1" pivotButton="0" quotePrefix="0" xfId="0"/>
    <xf numFmtId="0" fontId="6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2" borderId="1" pivotButton="0" quotePrefix="0" xfId="0"/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Umsatzdaten" displayName="Umsatzdaten" ref="B4:E16" headerRowCount="1">
  <autoFilter ref="B4:E16"/>
  <tableColumns count="4">
    <tableColumn id="2" name="Monat"/>
    <tableColumn id="3" name="Abteilung 1"/>
    <tableColumn id="4" name="Abteilung 2"/>
    <tableColumn id="5" name="Abteilung 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06_Tabellen.xlsx  -  Tabellen</t>
        </is>
      </c>
    </row>
    <row r="4" ht="56" customHeight="1">
      <c r="B4" s="2" t="inlineStr">
        <is>
          <t>Eine Tabelle ist mehr als eine hübsche Formatierung: Sie hat einen Namen, wächst automatisch mit, kennt strukturierte Verweise und liefert eine Ergebniszeile. Genau diese Eigenschaften machen später Pivot-Auswertungen so bequem.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1 Erstellen</t>
        </is>
      </c>
      <c r="C23" s="13" t="inlineStr">
        <is>
          <t>Einen Bereich in eine echte Tabelle umwandeln</t>
        </is>
      </c>
    </row>
    <row r="24">
      <c r="B24" s="12" t="inlineStr">
        <is>
          <t>Muster Tabelle</t>
        </is>
      </c>
      <c r="C24" s="13" t="inlineStr">
        <is>
          <t>Fertige Tabelle zum Ansehen und Ausprobieren</t>
        </is>
      </c>
    </row>
    <row r="25">
      <c r="B25" s="12" t="inlineStr">
        <is>
          <t>2 Name+Bezüge</t>
        </is>
      </c>
      <c r="C25" s="13" t="inlineStr">
        <is>
          <t>Tabellenname und strukturierte Verweise wie Tabelle1[Umsatz]</t>
        </is>
      </c>
    </row>
    <row r="26">
      <c r="B26" s="12" t="inlineStr">
        <is>
          <t>3 Ergebniszeile</t>
        </is>
      </c>
      <c r="C26" s="13" t="inlineStr">
        <is>
          <t>Ergebniszeile, AutoFilter und TEILERGEBNIS</t>
        </is>
      </c>
    </row>
    <row r="27">
      <c r="B27" s="12" t="inlineStr">
        <is>
          <t>4 Datenschnitt</t>
        </is>
      </c>
      <c r="C27" s="13" t="inlineStr">
        <is>
          <t>Datenschnitte als erste Dashboard-Elemente</t>
        </is>
      </c>
    </row>
    <row r="28">
      <c r="B28" s="12" t="inlineStr">
        <is>
          <t>5 Ändern</t>
        </is>
      </c>
      <c r="C28" s="13" t="inlineStr">
        <is>
          <t>Größe ändern, Formatoptionen, in Bereich zurückwandeln</t>
        </is>
      </c>
    </row>
    <row r="29">
      <c r="B29" s="12" t="inlineStr">
        <is>
          <t>6 Praxisfall</t>
        </is>
      </c>
      <c r="C29" s="13" t="inlineStr">
        <is>
          <t>Abteilungsumsätze komplett auswerten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H2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6" customWidth="1" min="8" max="8"/>
  </cols>
  <sheetData>
    <row r="1" ht="22" customHeight="1">
      <c r="B1" s="1" t="inlineStr">
        <is>
          <t>1  Eine Tabelle erstellen</t>
        </is>
      </c>
    </row>
    <row r="2">
      <c r="B2" s="14" t="inlineStr">
        <is>
          <t>Kapitel: Tabellen - Erstellen</t>
        </is>
      </c>
    </row>
    <row r="4" ht="42" customHeight="1">
      <c r="B4" s="2" t="inlineStr">
        <is>
          <t>Achtung: Als Tabelle formatieren und eine echte Tabelle sind zwei verschiedene Dinge. Nur eine dezidiert definierte Tabelle hat einen Namen, wächst automatisch mit und kennt strukturierte Verweise.</t>
        </is>
      </c>
    </row>
    <row r="6" ht="30" customHeight="1">
      <c r="B6" s="15" t="inlineStr">
        <is>
          <t>Aufgabe 1:  Wandle den Bereich unten in eine echte Tabelle um. Achte im Dialog darauf, dass Tabelle hat Überschriften angehakt ist.</t>
        </is>
      </c>
    </row>
    <row r="7" ht="28" customHeight="1">
      <c r="B7" s="16" t="inlineStr">
        <is>
          <t>Tipp: Drei Wege: STRG + T  |  Einfügen - Tabellen - Tabelle  |  Start - Formatvorlagen - Als Tabelle formatieren.</t>
        </is>
      </c>
    </row>
    <row r="8">
      <c r="B8" s="11" t="inlineStr">
        <is>
          <t>Monat</t>
        </is>
      </c>
      <c r="C8" s="11" t="inlineStr">
        <is>
          <t>Abteilung 1</t>
        </is>
      </c>
      <c r="D8" s="11" t="inlineStr">
        <is>
          <t>Abteilung 2</t>
        </is>
      </c>
      <c r="E8" s="11" t="inlineStr">
        <is>
          <t>Abteilung 3</t>
        </is>
      </c>
    </row>
    <row r="9">
      <c r="B9" s="17" t="inlineStr">
        <is>
          <t>Jänner</t>
        </is>
      </c>
      <c r="C9" s="18" t="n">
        <v>38100</v>
      </c>
      <c r="D9" s="18" t="n">
        <v>228500</v>
      </c>
      <c r="E9" s="18" t="n">
        <v>19000</v>
      </c>
    </row>
    <row r="10">
      <c r="B10" s="17" t="inlineStr">
        <is>
          <t>Februar</t>
        </is>
      </c>
      <c r="C10" s="18" t="n">
        <v>38400</v>
      </c>
      <c r="D10" s="18" t="n">
        <v>260500</v>
      </c>
      <c r="E10" s="18" t="n">
        <v>4800</v>
      </c>
    </row>
    <row r="11">
      <c r="B11" s="17" t="inlineStr">
        <is>
          <t>März</t>
        </is>
      </c>
      <c r="C11" s="18" t="n">
        <v>39000</v>
      </c>
      <c r="D11" s="18" t="n">
        <v>271500</v>
      </c>
      <c r="E11" s="18" t="n">
        <v>3000</v>
      </c>
    </row>
    <row r="12">
      <c r="B12" s="17" t="inlineStr">
        <is>
          <t>April</t>
        </is>
      </c>
      <c r="C12" s="18" t="n">
        <v>73500</v>
      </c>
      <c r="D12" s="18" t="n">
        <v>317500</v>
      </c>
      <c r="E12" s="18" t="n">
        <v>8200</v>
      </c>
    </row>
    <row r="13">
      <c r="B13" s="17" t="inlineStr">
        <is>
          <t>Mai</t>
        </is>
      </c>
      <c r="C13" s="18" t="n">
        <v>61500</v>
      </c>
      <c r="D13" s="18" t="n">
        <v>341000</v>
      </c>
      <c r="E13" s="18" t="n">
        <v>9000</v>
      </c>
    </row>
    <row r="14">
      <c r="B14" s="17" t="inlineStr">
        <is>
          <t>Juni</t>
        </is>
      </c>
      <c r="C14" s="18" t="n">
        <v>76800</v>
      </c>
      <c r="D14" s="18" t="n">
        <v>328500</v>
      </c>
      <c r="E14" s="18" t="n">
        <v>15200</v>
      </c>
    </row>
    <row r="15">
      <c r="B15" s="17" t="inlineStr">
        <is>
          <t>Juli</t>
        </is>
      </c>
      <c r="C15" s="18" t="n">
        <v>75300</v>
      </c>
      <c r="D15" s="18" t="n">
        <v>372000</v>
      </c>
      <c r="E15" s="18" t="n">
        <v>13600</v>
      </c>
    </row>
    <row r="16">
      <c r="B16" s="17" t="inlineStr">
        <is>
          <t>August</t>
        </is>
      </c>
      <c r="C16" s="18" t="n">
        <v>59400</v>
      </c>
      <c r="D16" s="18" t="n">
        <v>356500</v>
      </c>
      <c r="E16" s="18" t="n">
        <v>6600</v>
      </c>
    </row>
    <row r="17">
      <c r="B17" s="17" t="inlineStr">
        <is>
          <t>September</t>
        </is>
      </c>
      <c r="C17" s="18" t="n">
        <v>53700</v>
      </c>
      <c r="D17" s="18" t="n">
        <v>329000</v>
      </c>
      <c r="E17" s="18" t="n">
        <v>8000</v>
      </c>
    </row>
    <row r="18">
      <c r="B18" s="17" t="inlineStr">
        <is>
          <t>Oktober</t>
        </is>
      </c>
      <c r="C18" s="18" t="n">
        <v>39600</v>
      </c>
      <c r="D18" s="18" t="n">
        <v>317500</v>
      </c>
      <c r="E18" s="18" t="n">
        <v>11400</v>
      </c>
    </row>
    <row r="19">
      <c r="B19" s="17" t="inlineStr">
        <is>
          <t>November</t>
        </is>
      </c>
      <c r="C19" s="18" t="n">
        <v>38100</v>
      </c>
      <c r="D19" s="18" t="n">
        <v>307500</v>
      </c>
      <c r="E19" s="18" t="n">
        <v>17000</v>
      </c>
    </row>
    <row r="20">
      <c r="B20" s="17" t="inlineStr">
        <is>
          <t>Dezember</t>
        </is>
      </c>
      <c r="C20" s="18" t="n">
        <v>37800</v>
      </c>
      <c r="D20" s="18" t="n">
        <v>280500</v>
      </c>
      <c r="E20" s="18" t="n">
        <v>17400</v>
      </c>
    </row>
    <row r="22" ht="45" customHeight="1">
      <c r="B22" s="15" t="inlineStr">
        <is>
          <t>Aufgabe 2:  Klicke in die Tabelle und tippe in der ersten leeren Zeile darunter einen neuen Monat ein - die Tabelle erweitert sich automatisch. Mach es danach rückgängig.</t>
        </is>
      </c>
    </row>
    <row r="23" ht="14" customHeight="1">
      <c r="B23" s="16" t="inlineStr">
        <is>
          <t>Tipp: Dasselbe passiert mit TAB in der letzten Zelle der Tabelle.</t>
        </is>
      </c>
    </row>
    <row r="24" ht="30" customHeight="1">
      <c r="B24" s="15" t="inlineStr">
        <is>
          <t>Aufgabe 3:  Markiere alle Datenzellen der Tabelle (ohne Überschriften) und lies in der Adressdropdownbox links oben den Tabellennamen ab.</t>
        </is>
      </c>
    </row>
    <row r="26">
      <c r="B26" s="11" t="inlineStr">
        <is>
          <t>Verständnisfrage</t>
        </is>
      </c>
      <c r="C26" s="11" t="inlineStr">
        <is>
          <t>dein Ergebnis</t>
        </is>
      </c>
      <c r="D26" s="11" t="inlineStr">
        <is>
          <t>Kontrolle</t>
        </is>
      </c>
    </row>
    <row r="27">
      <c r="B27" s="19" t="inlineStr">
        <is>
          <t>Gesamtumsatz Abteilung 1 über alle Monate</t>
        </is>
      </c>
      <c r="G27" s="20" t="n"/>
      <c r="H27" s="21">
        <f>IF(G27="","Kontrolle",IF(AND(_xlfn.ISFORMULA(G27),G27=631200),"OK - richtig",IF(G27=631200,"Ergebnis stimmt - bitte als Formel eingeben!","noch nicht richtig")))</f>
        <v/>
      </c>
    </row>
    <row r="28">
      <c r="B28" s="19" t="inlineStr">
        <is>
          <t>Gesamtumsatz Abteilung 2 über alle Monate</t>
        </is>
      </c>
      <c r="G28" s="20" t="n"/>
      <c r="H28" s="21">
        <f>IF(G28="","Kontrolle",IF(AND(_xlfn.ISFORMULA(G28),G28=3710500),"OK - richtig",IF(G28=3710500,"Ergebnis stimmt - bitte als Formel eingeben!","noch nicht richtig")))</f>
        <v/>
      </c>
    </row>
    <row r="29">
      <c r="B29" s="19" t="inlineStr">
        <is>
          <t>Gesamtumsatz aller drei Abteilungen</t>
        </is>
      </c>
      <c r="G29" s="20" t="n"/>
      <c r="H29" s="21">
        <f>IF(G29="","Kontrolle",IF(AND(_xlfn.ISFORMULA(G29),G29=4474900),"OK - richtig",IF(G29=4474900,"Ergebnis stimmt - bitte als Formel eingeben!","noch nicht richtig")))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1:E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24" customWidth="1" min="7" max="7"/>
  </cols>
  <sheetData>
    <row r="1" ht="22" customHeight="1">
      <c r="B1" s="1" t="inlineStr">
        <is>
          <t>Muster: fertige Tabelle namens Umsatzdaten</t>
        </is>
      </c>
    </row>
    <row r="2">
      <c r="B2" s="14" t="inlineStr">
        <is>
          <t>Klicke hinein - im Menüband erscheint die Registerkarte Tabellenentwurf.</t>
        </is>
      </c>
    </row>
    <row r="4">
      <c r="B4" t="inlineStr">
        <is>
          <t>Monat</t>
        </is>
      </c>
      <c r="C4" t="inlineStr">
        <is>
          <t>Abteilung 1</t>
        </is>
      </c>
      <c r="D4" t="inlineStr">
        <is>
          <t>Abteilung 2</t>
        </is>
      </c>
      <c r="E4" t="inlineStr">
        <is>
          <t>Abteilung 3</t>
        </is>
      </c>
    </row>
    <row r="5">
      <c r="B5" t="inlineStr">
        <is>
          <t>Jänner</t>
        </is>
      </c>
      <c r="C5" s="22" t="n">
        <v>38100</v>
      </c>
      <c r="D5" s="22" t="n">
        <v>228500</v>
      </c>
      <c r="E5" s="22" t="n">
        <v>19000</v>
      </c>
    </row>
    <row r="6">
      <c r="B6" t="inlineStr">
        <is>
          <t>Februar</t>
        </is>
      </c>
      <c r="C6" s="22" t="n">
        <v>38400</v>
      </c>
      <c r="D6" s="22" t="n">
        <v>260500</v>
      </c>
      <c r="E6" s="22" t="n">
        <v>4800</v>
      </c>
    </row>
    <row r="7">
      <c r="B7" t="inlineStr">
        <is>
          <t>März</t>
        </is>
      </c>
      <c r="C7" s="22" t="n">
        <v>39000</v>
      </c>
      <c r="D7" s="22" t="n">
        <v>271500</v>
      </c>
      <c r="E7" s="22" t="n">
        <v>3000</v>
      </c>
    </row>
    <row r="8">
      <c r="B8" t="inlineStr">
        <is>
          <t>April</t>
        </is>
      </c>
      <c r="C8" s="22" t="n">
        <v>73500</v>
      </c>
      <c r="D8" s="22" t="n">
        <v>317500</v>
      </c>
      <c r="E8" s="22" t="n">
        <v>8200</v>
      </c>
    </row>
    <row r="9">
      <c r="B9" t="inlineStr">
        <is>
          <t>Mai</t>
        </is>
      </c>
      <c r="C9" s="22" t="n">
        <v>61500</v>
      </c>
      <c r="D9" s="22" t="n">
        <v>341000</v>
      </c>
      <c r="E9" s="22" t="n">
        <v>9000</v>
      </c>
    </row>
    <row r="10">
      <c r="B10" t="inlineStr">
        <is>
          <t>Juni</t>
        </is>
      </c>
      <c r="C10" s="22" t="n">
        <v>76800</v>
      </c>
      <c r="D10" s="22" t="n">
        <v>328500</v>
      </c>
      <c r="E10" s="22" t="n">
        <v>15200</v>
      </c>
    </row>
    <row r="11">
      <c r="B11" t="inlineStr">
        <is>
          <t>Juli</t>
        </is>
      </c>
      <c r="C11" s="22" t="n">
        <v>75300</v>
      </c>
      <c r="D11" s="22" t="n">
        <v>372000</v>
      </c>
      <c r="E11" s="22" t="n">
        <v>13600</v>
      </c>
    </row>
    <row r="12">
      <c r="B12" t="inlineStr">
        <is>
          <t>August</t>
        </is>
      </c>
      <c r="C12" s="22" t="n">
        <v>59400</v>
      </c>
      <c r="D12" s="22" t="n">
        <v>356500</v>
      </c>
      <c r="E12" s="22" t="n">
        <v>6600</v>
      </c>
    </row>
    <row r="13">
      <c r="B13" t="inlineStr">
        <is>
          <t>September</t>
        </is>
      </c>
      <c r="C13" s="22" t="n">
        <v>53700</v>
      </c>
      <c r="D13" s="22" t="n">
        <v>329000</v>
      </c>
      <c r="E13" s="22" t="n">
        <v>8000</v>
      </c>
    </row>
    <row r="14">
      <c r="B14" t="inlineStr">
        <is>
          <t>Oktober</t>
        </is>
      </c>
      <c r="C14" s="22" t="n">
        <v>39600</v>
      </c>
      <c r="D14" s="22" t="n">
        <v>317500</v>
      </c>
      <c r="E14" s="22" t="n">
        <v>11400</v>
      </c>
    </row>
    <row r="15">
      <c r="B15" t="inlineStr">
        <is>
          <t>November</t>
        </is>
      </c>
      <c r="C15" s="22" t="n">
        <v>38100</v>
      </c>
      <c r="D15" s="22" t="n">
        <v>307500</v>
      </c>
      <c r="E15" s="22" t="n">
        <v>17000</v>
      </c>
    </row>
    <row r="16">
      <c r="B16" t="inlineStr">
        <is>
          <t>Dezember</t>
        </is>
      </c>
      <c r="C16" s="22" t="n">
        <v>37800</v>
      </c>
      <c r="D16" s="22" t="n">
        <v>280500</v>
      </c>
      <c r="E16" s="22" t="n">
        <v>17400</v>
      </c>
    </row>
    <row r="18" ht="42" customHeight="1">
      <c r="B18" s="2" t="inlineStr">
        <is>
          <t>Probiere hier aus: TAB in der letzten Zelle erweitert die Tabelle. Eine Formel in der ersten Zelle einer neuen Spalte wird automatisch auf alle Zeilen angewendet.</t>
        </is>
      </c>
    </row>
    <row r="20">
      <c r="B20" s="23" t="inlineStr">
        <is>
          <t>Beispiel für einen strukturierten Verweis:</t>
        </is>
      </c>
    </row>
    <row r="21">
      <c r="B21" s="22">
        <f>SUM(Umsatzdaten[Abteilung 1])</f>
        <v/>
      </c>
      <c r="C21" s="14" t="inlineStr">
        <is>
          <t>&lt;- so sieht ein strukturierter Verweis in einer Formel aus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D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50" customWidth="1" min="4" max="4"/>
  </cols>
  <sheetData>
    <row r="1" ht="22" customHeight="1">
      <c r="B1" s="1" t="inlineStr">
        <is>
          <t>2  Tabellenname und strukturierte Verweise</t>
        </is>
      </c>
    </row>
    <row r="2">
      <c r="B2" s="14" t="inlineStr">
        <is>
          <t>Kapitel: Tabellen - Verwenden</t>
        </is>
      </c>
    </row>
    <row r="4" ht="42" customHeight="1">
      <c r="B4" s="2" t="inlineStr">
        <is>
          <t>Auf dem Blatt "Muster Tabelle" liegt eine Tabelle mit dem Namen Umsatzdaten. Löse die folgenden Aufgaben mit strukturierten Verweisen - also mit Umsatzdaten[...] statt mit Zellbezügen wie C5:C16.</t>
        </is>
      </c>
    </row>
    <row r="6" ht="30" customHeight="1">
      <c r="B6" s="15" t="inlineStr">
        <is>
          <t>Aufgabe 1:  Gib der Tabelle auf dem Blatt "1 Erstellen" einen sprechenden Namen, z. B. Abteilungsumsatz.</t>
        </is>
      </c>
    </row>
    <row r="7" ht="14" customHeight="1">
      <c r="B7" s="16" t="inlineStr">
        <is>
          <t>Tipp: In die Tabelle klicken - Tabellenentwurf - Tabellenname.</t>
        </is>
      </c>
    </row>
    <row r="9">
      <c r="B9" s="11" t="inlineStr">
        <is>
          <t>Aufgabe (bitte mit strukturiertem Verweis lösen)</t>
        </is>
      </c>
      <c r="C9" s="11" t="inlineStr">
        <is>
          <t>dein Ergebnis</t>
        </is>
      </c>
      <c r="D9" s="11" t="inlineStr">
        <is>
          <t>Kontrolle</t>
        </is>
      </c>
    </row>
    <row r="10">
      <c r="B10" s="19" t="inlineStr">
        <is>
          <t>Summe der Spalte Abteilung 1 der Tabelle Umsatzdaten</t>
        </is>
      </c>
      <c r="C10" s="24" t="n"/>
      <c r="D10" s="21">
        <f>IF(C10="","Kontrolle",IF(AND(_xlfn.ISFORMULA(C10),ABS(C10-631200)&lt;0.005),"OK - richtig",IF(ABS(C10-631200)&lt;0.005,"Ergebnis stimmt - bitte als Formel eingeben!","noch nicht richtig")))</f>
        <v/>
      </c>
    </row>
    <row r="11">
      <c r="B11" s="19" t="inlineStr">
        <is>
          <t>Mittelwert der Spalte Abteilung 2</t>
        </is>
      </c>
      <c r="C11" s="24" t="n"/>
      <c r="D11" s="21">
        <f>IF(C11="","Kontrolle",IF(AND(_xlfn.ISFORMULA(C11),ABS(C11-309208.3333)&lt;0.005),"OK - richtig",IF(ABS(C11-309208.3333)&lt;0.005,"Ergebnis stimmt - bitte als Formel eingeben!","noch nicht richtig")))</f>
        <v/>
      </c>
    </row>
    <row r="12">
      <c r="B12" s="19" t="inlineStr">
        <is>
          <t>Höchster Wert der Spalte Abteilung 3</t>
        </is>
      </c>
      <c r="C12" s="24" t="n"/>
      <c r="D12" s="21">
        <f>IF(C12="","Kontrolle",IF(AND(_xlfn.ISFORMULA(C12),ABS(C12-19000)&lt;0.005),"OK - richtig",IF(ABS(C12-19000)&lt;0.005,"Ergebnis stimmt - bitte als Formel eingeben!","noch nicht richtig")))</f>
        <v/>
      </c>
    </row>
    <row r="13">
      <c r="B13" s="19" t="inlineStr">
        <is>
          <t>Anzahl der Zeilen der Tabelle</t>
        </is>
      </c>
      <c r="C13" s="24" t="n"/>
      <c r="D13" s="21">
        <f>IF(C13="","Kontrolle",IF(AND(_xlfn.ISFORMULA(C13),ABS(C13-12)&lt;0.005),"OK - richtig",IF(ABS(C13-12)&lt;0.005,"Ergebnis stimmt - bitte als Formel eingeben!","noch nicht richtig")))</f>
        <v/>
      </c>
    </row>
    <row r="15" ht="45" customHeight="1">
      <c r="B15" s="15" t="inlineStr">
        <is>
          <t>Aufgabe 2:  Füge auf dem Blatt "1 Erstellen" rechts neben der Tabelle eine neue Spalte Gesamt ein und berechne die Zeilensumme mit dem @-Operator. Beobachte: Excel füllt die Formel automatisch für alle Zeilen aus.</t>
        </is>
      </c>
    </row>
    <row r="16" ht="28" customHeight="1">
      <c r="B16" s="16" t="inlineStr">
        <is>
          <t>Tipp: =[@[Abteilung 1]]+[@[Abteilung 2]]+[@[Abteilung 3]]   -   oder einfach =SUMME(Abteilungsumsatz[@[Abteilung 1]:[Abteilung 3]])</t>
        </is>
      </c>
    </row>
    <row r="18">
      <c r="B18" s="11" t="inlineStr">
        <is>
          <t>Verständnisfrage</t>
        </is>
      </c>
      <c r="C18" s="11" t="inlineStr">
        <is>
          <t>dein Ergebnis</t>
        </is>
      </c>
      <c r="D18" s="11" t="inlineStr">
        <is>
          <t>Kontrolle</t>
        </is>
      </c>
    </row>
    <row r="19">
      <c r="B19" s="19" t="inlineStr">
        <is>
          <t>Höchster Wert deiner neuen Spalte Gesamt</t>
        </is>
      </c>
      <c r="C19" s="20" t="n"/>
      <c r="D19" s="21">
        <f>IF(C19="","Kontrolle",IF(AND(_xlfn.ISFORMULA(C19),C19=460900),"OK - richtig",IF(C19=460900,"Ergebnis stimmt - bitte als Formel eingeben!","noch nicht richtig")))</f>
        <v/>
      </c>
    </row>
    <row r="20">
      <c r="B20" s="19" t="inlineStr">
        <is>
          <t>Niedrigster Wert deiner neuen Spalte Gesamt</t>
        </is>
      </c>
      <c r="C20" s="20" t="n"/>
      <c r="D20" s="21">
        <f>IF(C20="","Kontrolle",IF(AND(_xlfn.ISFORMULA(C20),C20=285600),"OK - richtig",IF(C20=285600,"Ergebnis stimmt - bitte als Formel eingeben!","noch nicht richtig")))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D1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50" customWidth="1" min="4" max="4"/>
  </cols>
  <sheetData>
    <row r="1" ht="22" customHeight="1">
      <c r="B1" s="1" t="inlineStr">
        <is>
          <t>3  Ergebniszeile und Filter</t>
        </is>
      </c>
    </row>
    <row r="2">
      <c r="B2" s="14" t="inlineStr">
        <is>
          <t>Kapitel: Tabellen - Ändern - Tabellenformatoptionen</t>
        </is>
      </c>
    </row>
    <row r="4" ht="30" customHeight="1">
      <c r="B4" s="15" t="inlineStr">
        <is>
          <t>Aufgabe 1:  Blende bei der Tabelle auf dem Blatt "1 Erstellen" die Ergebniszeile ein.</t>
        </is>
      </c>
    </row>
    <row r="5" ht="28" customHeight="1">
      <c r="B5" s="16" t="inlineStr">
        <is>
          <t>Tipp: Tabellenentwurf - Tabellenformatoptionen - Ergebniszeile. Shortcut: STRG + SHIFT + T.</t>
        </is>
      </c>
    </row>
    <row r="6" ht="30" customHeight="1">
      <c r="B6" s="15" t="inlineStr">
        <is>
          <t>Aufgabe 2:  Stelle in der Ergebniszeile ein: Abteilung 1 auf Summe, Abteilung 2 auf Mittelwert, Abteilung 3 auf Maximum.</t>
        </is>
      </c>
    </row>
    <row r="7" ht="14" customHeight="1">
      <c r="B7" s="16" t="inlineStr">
        <is>
          <t>Tipp: In der Ergebniszelle auf den Dropdown-Pfeil klicken.</t>
        </is>
      </c>
    </row>
    <row r="8" ht="30" customHeight="1">
      <c r="B8" s="15" t="inlineStr">
        <is>
          <t>Aufgabe 3:  Filtere über den AutoFilter nur die Monate Jänner bis Juni heraus und beobachte die Ergebniszeile - sie rechnet nur die sichtbaren Zeilen.</t>
        </is>
      </c>
    </row>
    <row r="9" ht="28" customHeight="1">
      <c r="B9" s="16" t="inlineStr">
        <is>
          <t>Tipp: Genau das macht die Funktion TEILERGEBNIS, die Excel dort einsetzt. Hebe den Filter danach wieder auf.</t>
        </is>
      </c>
    </row>
    <row r="11">
      <c r="B11" s="11" t="inlineStr">
        <is>
          <t>Verständnisfrage</t>
        </is>
      </c>
      <c r="C11" s="11" t="inlineStr">
        <is>
          <t>dein Ergebnis</t>
        </is>
      </c>
      <c r="D11" s="11" t="inlineStr">
        <is>
          <t>Kontrolle</t>
        </is>
      </c>
    </row>
    <row r="12">
      <c r="B12" s="19" t="inlineStr">
        <is>
          <t>Summe Abteilung 1 - alle Monate</t>
        </is>
      </c>
      <c r="C12" s="24" t="n"/>
      <c r="D12" s="21">
        <f>IF(C12="","Kontrolle",IF(ABS(C12-631200)&lt;0.005,"OK - richtig","noch nicht richtig"))</f>
        <v/>
      </c>
    </row>
    <row r="13">
      <c r="B13" s="19" t="inlineStr">
        <is>
          <t>Summe Abteilung 1 - nur Jänner bis Juni (gefiltert)</t>
        </is>
      </c>
      <c r="C13" s="24" t="n"/>
      <c r="D13" s="21">
        <f>IF(C13="","Kontrolle",IF(ABS(C13-327300)&lt;0.005,"OK - richtig","noch nicht richtig"))</f>
        <v/>
      </c>
    </row>
    <row r="14">
      <c r="B14" s="19" t="inlineStr">
        <is>
          <t>Mittelwert Abteilung 2 - alle Monate</t>
        </is>
      </c>
      <c r="C14" s="24" t="n"/>
      <c r="D14" s="21">
        <f>IF(C14="","Kontrolle",IF(ABS(C14-309208.3333)&lt;0.005,"OK - richtig","noch nicht richtig"))</f>
        <v/>
      </c>
    </row>
    <row r="15">
      <c r="B15" s="19" t="inlineStr">
        <is>
          <t>Maximum Abteilung 3 - alle Monate</t>
        </is>
      </c>
      <c r="C15" s="24" t="n"/>
      <c r="D15" s="21">
        <f>IF(C15="","Kontrolle",IF(ABS(C15-19000)&lt;0.005,"OK - richtig","noch nicht richtig"))</f>
        <v/>
      </c>
    </row>
    <row r="17" ht="15" customHeight="1">
      <c r="B17" s="15" t="inlineStr">
        <is>
          <t>Aufgabe 4:  Blende die Filterschaltflächen aus und wieder ein.</t>
        </is>
      </c>
    </row>
    <row r="18" ht="14" customHeight="1">
      <c r="B18" s="16" t="inlineStr">
        <is>
          <t>Tipp: Tabellenentwurf - Tabellenformatoptionen - Filterschaltfläche.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D1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50" customWidth="1" min="4" max="4"/>
  </cols>
  <sheetData>
    <row r="1" ht="22" customHeight="1">
      <c r="B1" s="1" t="inlineStr">
        <is>
          <t>4  Datenschnitte</t>
        </is>
      </c>
    </row>
    <row r="2">
      <c r="B2" s="14" t="inlineStr">
        <is>
          <t>Kapitel: Tabellen - Ändern - Datenschnitt einfügen</t>
        </is>
      </c>
    </row>
    <row r="4" ht="42" customHeight="1">
      <c r="B4" s="2" t="inlineStr">
        <is>
          <t>Ein Datenschnitt ist ein grafischer Filter. Statt im Dropdown Häkchen zu setzen, klickst du auf Schaltflächen - und siehst auf einen Blick, wonach gerade gefiltert wird. Das ist der Einstieg in Dashboards.</t>
        </is>
      </c>
    </row>
    <row r="6" ht="30" customHeight="1">
      <c r="B6" s="15" t="inlineStr">
        <is>
          <t>Aufgabe 1:  Füge auf dem Blatt "1 Erstellen" einen Datenschnitt für die Spalte Monat ein.</t>
        </is>
      </c>
    </row>
    <row r="7" ht="14" customHeight="1">
      <c r="B7" s="16" t="inlineStr">
        <is>
          <t>Tipp: In die Tabelle klicken - Tabellenentwurf - Datenschnitt einfügen.</t>
        </is>
      </c>
    </row>
    <row r="8" ht="30" customHeight="1">
      <c r="B8" s="15" t="inlineStr">
        <is>
          <t>Aufgabe 2:  Filtere mit dem Datenschnitt alle Monate mit gerader Monatszahl heraus - also Februar, April, Juni, August, Oktober, Dezember.</t>
        </is>
      </c>
    </row>
    <row r="9" ht="28" customHeight="1">
      <c r="B9" s="16" t="inlineStr">
        <is>
          <t>Tipp: Mehrfachauswahl mit gedrückter STRG-Taste - oder über das Symbol Mehrfachauswahl im Kopf des Datenschnitts.</t>
        </is>
      </c>
    </row>
    <row r="10" ht="30" customHeight="1">
      <c r="B10" s="15" t="inlineStr">
        <is>
          <t>Aufgabe 3:  Passe den Datenschnitt an: drei Spalten, andere Farbe, eigene Beschriftung.</t>
        </is>
      </c>
    </row>
    <row r="11" ht="14" customHeight="1">
      <c r="B11" s="16" t="inlineStr">
        <is>
          <t>Tipp: Klick auf den Datenschnitt - Registerkarte Datenschnitt.</t>
        </is>
      </c>
    </row>
    <row r="12" ht="30" customHeight="1">
      <c r="B12" s="15" t="inlineStr">
        <is>
          <t>Aufgabe 4:  Setze den Filter über das Symbol Filter löschen im Kopf des Datenschnitts zurück.</t>
        </is>
      </c>
    </row>
    <row r="14">
      <c r="B14" s="11" t="inlineStr">
        <is>
          <t>Verständnisfrage</t>
        </is>
      </c>
      <c r="C14" s="11" t="inlineStr">
        <is>
          <t>dein Ergebnis</t>
        </is>
      </c>
      <c r="D14" s="11" t="inlineStr">
        <is>
          <t>Kontrolle</t>
        </is>
      </c>
    </row>
    <row r="15">
      <c r="B15" s="19" t="inlineStr">
        <is>
          <t>Summe Abteilung 1 über alle Monate mit gerader Monatszahl</t>
        </is>
      </c>
      <c r="C15" s="20" t="n"/>
      <c r="D15" s="21">
        <f>IF(C15="","Kontrolle",IF(C15=325500,"OK - richtig","noch nicht richtig"))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C1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46" customWidth="1" min="3" max="3"/>
  </cols>
  <sheetData>
    <row r="1" ht="22" customHeight="1">
      <c r="B1" s="1" t="inlineStr">
        <is>
          <t>5  Tabellen ändern</t>
        </is>
      </c>
    </row>
    <row r="2">
      <c r="B2" s="14" t="inlineStr">
        <is>
          <t>Kapitel: Tabellen - Ändern</t>
        </is>
      </c>
    </row>
    <row r="4">
      <c r="B4" s="11" t="inlineStr">
        <is>
          <t>Probiere aus</t>
        </is>
      </c>
      <c r="C4" s="11" t="inlineStr">
        <is>
          <t>Weg im Menüband</t>
        </is>
      </c>
    </row>
    <row r="5" ht="26" customHeight="1">
      <c r="B5" s="19" t="inlineStr">
        <is>
          <t>Tabellengröße ändern</t>
        </is>
      </c>
      <c r="C5" s="25" t="inlineStr">
        <is>
          <t>Tabellenentwurf - Tabellengröße ändern - oder das kleine Dreieck an der rechten unteren Ecke ziehen</t>
        </is>
      </c>
    </row>
    <row r="6" ht="26" customHeight="1">
      <c r="B6" s="19" t="inlineStr">
        <is>
          <t>Formatvorlage wechseln</t>
        </is>
      </c>
      <c r="C6" s="25" t="inlineStr">
        <is>
          <t>Tabellenentwurf - Tabellenformatvorlagen - eine andere wählen</t>
        </is>
      </c>
    </row>
    <row r="7" ht="26" customHeight="1">
      <c r="B7" s="19" t="inlineStr">
        <is>
          <t>Gebänderte Zeilen aus, gebänderte Spalten ein</t>
        </is>
      </c>
      <c r="C7" s="25" t="inlineStr">
        <is>
          <t>Tabellenentwurf - Tabellenformatoptionen</t>
        </is>
      </c>
    </row>
    <row r="8" ht="26" customHeight="1">
      <c r="B8" s="19" t="inlineStr">
        <is>
          <t>Erste und letzte Spalte hervorheben</t>
        </is>
      </c>
      <c r="C8" s="25" t="inlineStr">
        <is>
          <t>Tabellenentwurf - Tabellenformatoptionen</t>
        </is>
      </c>
    </row>
    <row r="9" ht="26" customHeight="1">
      <c r="B9" s="19" t="inlineStr">
        <is>
          <t>Kopfzeile ausblenden</t>
        </is>
      </c>
      <c r="C9" s="25" t="inlineStr">
        <is>
          <t>Tabellenentwurf - Tabellenformatoptionen - Kopfzeile</t>
        </is>
      </c>
    </row>
    <row r="10" ht="26" customHeight="1">
      <c r="B10" s="19" t="inlineStr">
        <is>
          <t>In Bereich konvertieren</t>
        </is>
      </c>
      <c r="C10" s="25" t="inlineStr">
        <is>
          <t>Tabellenentwurf - Tools - In Bereich konvertieren</t>
        </is>
      </c>
    </row>
    <row r="12" ht="45" customHeight="1">
      <c r="B12" s="15" t="inlineStr">
        <is>
          <t>Aufgabe 1:  Wandle eine Kopie deiner Tabelle in einen Bereich zurück und prüfe, was dabei verloren geht: Name, Ergebniszeile, Datenschnitt, automatische Erweiterung und die strukturierten Verweise. Nur die Optik bleibt.</t>
        </is>
      </c>
    </row>
    <row r="13" ht="28" customHeight="1">
      <c r="B13" s="16" t="inlineStr">
        <is>
          <t>Tipp: Mache es danach mit STRG + Z rückgängig - oder erstelle die Tabelle neu.</t>
        </is>
      </c>
    </row>
    <row r="14" ht="45" customHeight="1">
      <c r="B14" s="15" t="inlineStr">
        <is>
          <t>Aufgabe 2:  Was passiert mit deiner Formel =SUMME(Umsatzdaten[Abteilung 1]), wenn du die Tabelle in einen Bereich konvertierst? Probiere es aus und beobachte die Formel danach.</t>
        </is>
      </c>
    </row>
    <row r="15" ht="42" customHeight="1">
      <c r="B15" s="16" t="inlineStr">
        <is>
          <t>Tipp: Excel schreibt die strukturierten Verweise automatisch in normale Zellbezüge um - die Formel funktioniert weiter, wächst aber nicht mehr mit.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B1:I2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8" max="8"/>
    <col width="46" customWidth="1" min="9" max="9"/>
  </cols>
  <sheetData>
    <row r="1" ht="22" customHeight="1">
      <c r="B1" s="1" t="inlineStr">
        <is>
          <t>6  Praxisfall: Abteilungsumsätze</t>
        </is>
      </c>
    </row>
    <row r="2">
      <c r="B2" s="14" t="inlineStr">
        <is>
          <t>Baue aus dem Rohbereich eine vollständig ausgestattete Tabelle.</t>
        </is>
      </c>
    </row>
    <row r="4" ht="28" customHeight="1">
      <c r="B4" s="26" t="inlineStr">
        <is>
          <t>1.  Wandle den Bereich unten in eine Tabelle um und benenne sie Jahresumsatz.</t>
        </is>
      </c>
    </row>
    <row r="5" ht="28" customHeight="1">
      <c r="B5" s="26" t="inlineStr">
        <is>
          <t>2.  Ergänze eine Spalte Gesamt mit der Zeilensumme (strukturierter Verweis mit @).</t>
        </is>
      </c>
    </row>
    <row r="6" ht="42" customHeight="1">
      <c r="B6" s="26" t="inlineStr">
        <is>
          <t>3.  Ergänze eine Spalte Anteil, die zeigt, wie viel Prozent des Jahresgesamtumsatzes auf den jeweiligen Monat entfallen - formatiert als Prozent.</t>
        </is>
      </c>
    </row>
    <row r="7" ht="28" customHeight="1">
      <c r="B7" s="26" t="inlineStr">
        <is>
          <t>4.  Blende die Ergebniszeile ein: Abteilung 1 Summe, Abteilung 2 Mittelwert, Abteilung 3 Maximum, Gesamt Summe.</t>
        </is>
      </c>
    </row>
    <row r="8" ht="28" customHeight="1">
      <c r="B8" s="26" t="inlineStr">
        <is>
          <t>5.  Füge einen Datenschnitt für die Spalte Monat ein und filtere das erste Halbjahr.</t>
        </is>
      </c>
    </row>
    <row r="9" ht="28" customHeight="1">
      <c r="B9" s="26" t="inlineStr">
        <is>
          <t>6.  Wähle eine passende Tabellenformatvorlage und aktiviere gebänderte Zeilen.</t>
        </is>
      </c>
    </row>
    <row r="11">
      <c r="B11" s="11" t="inlineStr">
        <is>
          <t>Monat</t>
        </is>
      </c>
      <c r="C11" s="11" t="inlineStr">
        <is>
          <t>Abteilung 1</t>
        </is>
      </c>
      <c r="D11" s="11" t="inlineStr">
        <is>
          <t>Abteilung 2</t>
        </is>
      </c>
      <c r="E11" s="11" t="inlineStr">
        <is>
          <t>Abteilung 3</t>
        </is>
      </c>
    </row>
    <row r="12">
      <c r="B12" s="17" t="inlineStr">
        <is>
          <t>Jänner</t>
        </is>
      </c>
      <c r="C12" s="18" t="n">
        <v>38100</v>
      </c>
      <c r="D12" s="18" t="n">
        <v>228500</v>
      </c>
      <c r="E12" s="18" t="n">
        <v>19000</v>
      </c>
    </row>
    <row r="13">
      <c r="B13" s="17" t="inlineStr">
        <is>
          <t>Februar</t>
        </is>
      </c>
      <c r="C13" s="18" t="n">
        <v>38400</v>
      </c>
      <c r="D13" s="18" t="n">
        <v>260500</v>
      </c>
      <c r="E13" s="18" t="n">
        <v>4800</v>
      </c>
    </row>
    <row r="14">
      <c r="B14" s="17" t="inlineStr">
        <is>
          <t>März</t>
        </is>
      </c>
      <c r="C14" s="18" t="n">
        <v>39000</v>
      </c>
      <c r="D14" s="18" t="n">
        <v>271500</v>
      </c>
      <c r="E14" s="18" t="n">
        <v>3000</v>
      </c>
    </row>
    <row r="15">
      <c r="B15" s="17" t="inlineStr">
        <is>
          <t>April</t>
        </is>
      </c>
      <c r="C15" s="18" t="n">
        <v>73500</v>
      </c>
      <c r="D15" s="18" t="n">
        <v>317500</v>
      </c>
      <c r="E15" s="18" t="n">
        <v>8200</v>
      </c>
    </row>
    <row r="16">
      <c r="B16" s="17" t="inlineStr">
        <is>
          <t>Mai</t>
        </is>
      </c>
      <c r="C16" s="18" t="n">
        <v>61500</v>
      </c>
      <c r="D16" s="18" t="n">
        <v>341000</v>
      </c>
      <c r="E16" s="18" t="n">
        <v>9000</v>
      </c>
    </row>
    <row r="17">
      <c r="B17" s="17" t="inlineStr">
        <is>
          <t>Juni</t>
        </is>
      </c>
      <c r="C17" s="18" t="n">
        <v>76800</v>
      </c>
      <c r="D17" s="18" t="n">
        <v>328500</v>
      </c>
      <c r="E17" s="18" t="n">
        <v>15200</v>
      </c>
    </row>
    <row r="18">
      <c r="B18" s="17" t="inlineStr">
        <is>
          <t>Juli</t>
        </is>
      </c>
      <c r="C18" s="18" t="n">
        <v>75300</v>
      </c>
      <c r="D18" s="18" t="n">
        <v>372000</v>
      </c>
      <c r="E18" s="18" t="n">
        <v>13600</v>
      </c>
    </row>
    <row r="19">
      <c r="B19" s="17" t="inlineStr">
        <is>
          <t>August</t>
        </is>
      </c>
      <c r="C19" s="18" t="n">
        <v>59400</v>
      </c>
      <c r="D19" s="18" t="n">
        <v>356500</v>
      </c>
      <c r="E19" s="18" t="n">
        <v>6600</v>
      </c>
    </row>
    <row r="20">
      <c r="B20" s="17" t="inlineStr">
        <is>
          <t>September</t>
        </is>
      </c>
      <c r="C20" s="18" t="n">
        <v>53700</v>
      </c>
      <c r="D20" s="18" t="n">
        <v>329000</v>
      </c>
      <c r="E20" s="18" t="n">
        <v>8000</v>
      </c>
    </row>
    <row r="21">
      <c r="B21" s="17" t="inlineStr">
        <is>
          <t>Oktober</t>
        </is>
      </c>
      <c r="C21" s="18" t="n">
        <v>39600</v>
      </c>
      <c r="D21" s="18" t="n">
        <v>317500</v>
      </c>
      <c r="E21" s="18" t="n">
        <v>11400</v>
      </c>
    </row>
    <row r="22">
      <c r="B22" s="17" t="inlineStr">
        <is>
          <t>November</t>
        </is>
      </c>
      <c r="C22" s="18" t="n">
        <v>38100</v>
      </c>
      <c r="D22" s="18" t="n">
        <v>307500</v>
      </c>
      <c r="E22" s="18" t="n">
        <v>17000</v>
      </c>
    </row>
    <row r="23">
      <c r="B23" s="17" t="inlineStr">
        <is>
          <t>Dezember</t>
        </is>
      </c>
      <c r="C23" s="18" t="n">
        <v>37800</v>
      </c>
      <c r="D23" s="18" t="n">
        <v>280500</v>
      </c>
      <c r="E23" s="18" t="n">
        <v>17400</v>
      </c>
    </row>
    <row r="25">
      <c r="B25" s="11" t="inlineStr">
        <is>
          <t>Kontrollfrage</t>
        </is>
      </c>
      <c r="C25" s="11" t="inlineStr">
        <is>
          <t>dein Ergebnis</t>
        </is>
      </c>
      <c r="D25" s="11" t="inlineStr">
        <is>
          <t>Kontrolle</t>
        </is>
      </c>
    </row>
    <row r="26">
      <c r="B26" s="19" t="inlineStr">
        <is>
          <t>Jahresgesamtumsatz aller Abteilungen</t>
        </is>
      </c>
      <c r="H26" s="20" t="n"/>
      <c r="I26" s="21">
        <f>IF(H26="","Kontrolle",IF(ABS(H26-4474900)&lt;0.5,"OK - richtig","noch nicht richtig"))</f>
        <v/>
      </c>
    </row>
    <row r="27">
      <c r="B27" s="19" t="inlineStr">
        <is>
          <t>Anteil des umsatzstärksten Monats in Prozent</t>
        </is>
      </c>
      <c r="H27" s="24" t="n"/>
      <c r="I27" s="21">
        <f>IF(H27="","Kontrolle",IF(ABS(H27-10.2997)&lt;0.01,"OK - richtig","noch nicht richtig"))</f>
        <v/>
      </c>
    </row>
    <row r="28">
      <c r="B28" s="19" t="inlineStr">
        <is>
          <t>Umsatzstärkster Monat - Nummer (1 = Jänner)</t>
        </is>
      </c>
      <c r="H28" s="27" t="n"/>
      <c r="I28" s="21">
        <f>IF(H28="","Kontrolle",IF(ABS(H28-7)&lt;0.5,"OK - richtig","noch nicht richtig"))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B1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4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8" t="inlineStr">
        <is>
          <t>1 Erstellen</t>
        </is>
      </c>
      <c r="C5" s="13" t="inlineStr">
        <is>
          <t>Tabelle erstellen</t>
        </is>
      </c>
      <c r="D5" s="29" t="inlineStr">
        <is>
          <t>STRG + T bzw. Einfügen - Tabellen - Tabelle, Häkchen bei Überschriften</t>
        </is>
      </c>
    </row>
    <row r="6" ht="13" customHeight="1">
      <c r="B6" s="28" t="inlineStr"/>
      <c r="C6" s="13" t="inlineStr">
        <is>
          <t>Summen</t>
        </is>
      </c>
      <c r="D6" s="29" t="inlineStr">
        <is>
          <t>Abt. 1 = 631.200   Abt. 2 = 3.710.500   gesamt = 4.474.900</t>
        </is>
      </c>
    </row>
    <row r="7" ht="13" customHeight="1">
      <c r="B7" s="28" t="inlineStr">
        <is>
          <t>2 Name+Bezüge</t>
        </is>
      </c>
      <c r="C7" s="13" t="inlineStr">
        <is>
          <t>Tabellenname ändern</t>
        </is>
      </c>
      <c r="D7" s="29" t="inlineStr">
        <is>
          <t>Tabellenentwurf - Tabellenname</t>
        </is>
      </c>
    </row>
    <row r="8" ht="13" customHeight="1">
      <c r="B8" s="28" t="inlineStr"/>
      <c r="C8" s="13" t="inlineStr">
        <is>
          <t>Spaltenbezug</t>
        </is>
      </c>
      <c r="D8" s="29" t="inlineStr">
        <is>
          <t>=SUMME(Umsatzdaten[Abteilung 1])</t>
        </is>
      </c>
    </row>
    <row r="9" ht="13" customHeight="1">
      <c r="B9" s="28" t="inlineStr"/>
      <c r="C9" s="13" t="inlineStr">
        <is>
          <t>Zeilenbezug</t>
        </is>
      </c>
      <c r="D9" s="29" t="inlineStr">
        <is>
          <t>=[@[Abteilung 1]]+[@[Abteilung 2]]+[@[Abteilung 3]]</t>
        </is>
      </c>
    </row>
    <row r="10" ht="13" customHeight="1">
      <c r="B10" s="28" t="inlineStr"/>
      <c r="C10" s="13" t="inlineStr">
        <is>
          <t>Gesamtspalte</t>
        </is>
      </c>
      <c r="D10" s="29" t="inlineStr">
        <is>
          <t>MAX = 460.900   MIN = 285.600</t>
        </is>
      </c>
    </row>
    <row r="11" ht="13" customHeight="1">
      <c r="B11" s="28" t="inlineStr">
        <is>
          <t>3 Ergebniszeile</t>
        </is>
      </c>
      <c r="C11" s="13" t="inlineStr">
        <is>
          <t>Ergebniszeile</t>
        </is>
      </c>
      <c r="D11" s="29" t="inlineStr">
        <is>
          <t>Tabellenentwurf - Ergebniszeile (STRG + SHIFT + T)</t>
        </is>
      </c>
    </row>
    <row r="12" ht="13" customHeight="1">
      <c r="B12" s="28" t="inlineStr"/>
      <c r="C12" s="13" t="inlineStr">
        <is>
          <t>TEILERGEBNIS</t>
        </is>
      </c>
      <c r="D12" s="29" t="inlineStr">
        <is>
          <t>Die Ergebniszeile verwendet TEILERGEBNIS - sie rechnet nur die sichtbaren Zeilen</t>
        </is>
      </c>
    </row>
    <row r="13" ht="26" customHeight="1">
      <c r="B13" s="28" t="inlineStr"/>
      <c r="C13" s="13" t="inlineStr">
        <is>
          <t>Werte</t>
        </is>
      </c>
      <c r="D13" s="29" t="inlineStr">
        <is>
          <t>Summe Abt.1 = 631.200  |  gefiltert Jän-Jun = 327.300  |  Mittelwert Abt.2 = 309.208.33  |  MAX Abt.3 = 19.000</t>
        </is>
      </c>
    </row>
    <row r="14" ht="13" customHeight="1">
      <c r="B14" s="28" t="inlineStr">
        <is>
          <t>4 Datenschnitt</t>
        </is>
      </c>
      <c r="C14" s="13" t="inlineStr">
        <is>
          <t>Einfügen</t>
        </is>
      </c>
      <c r="D14" s="29" t="inlineStr">
        <is>
          <t>Tabellenentwurf - Datenschnitt einfügen</t>
        </is>
      </c>
    </row>
    <row r="15" ht="13" customHeight="1">
      <c r="B15" s="28" t="inlineStr"/>
      <c r="C15" s="13" t="inlineStr">
        <is>
          <t>Mehrfachauswahl</t>
        </is>
      </c>
      <c r="D15" s="29" t="inlineStr">
        <is>
          <t>STRG gedrückt halten oder Symbol Mehrfachauswahl im Datenschnittkopf</t>
        </is>
      </c>
    </row>
    <row r="16" ht="13" customHeight="1">
      <c r="B16" s="28" t="inlineStr"/>
      <c r="C16" s="13" t="inlineStr">
        <is>
          <t>Gerade Monate</t>
        </is>
      </c>
      <c r="D16" s="29" t="inlineStr">
        <is>
          <t>Summe Abteilung 1 = 325.500</t>
        </is>
      </c>
    </row>
    <row r="17" ht="13" customHeight="1">
      <c r="B17" s="28" t="inlineStr">
        <is>
          <t>5 Ändern</t>
        </is>
      </c>
      <c r="C17" s="13" t="inlineStr">
        <is>
          <t>In Bereich konvertieren</t>
        </is>
      </c>
      <c r="D17" s="29" t="inlineStr">
        <is>
          <t>Tabellenentwurf - In Bereich konvertieren; es bleibt nur die Optik erhalten</t>
        </is>
      </c>
    </row>
    <row r="18" ht="13" customHeight="1">
      <c r="B18" s="28" t="inlineStr"/>
      <c r="C18" s="13" t="inlineStr">
        <is>
          <t>Formeln danach</t>
        </is>
      </c>
      <c r="D18" s="29" t="inlineStr">
        <is>
          <t>Strukturierte Verweise werden automatisch in normale Zellbezüge umgeschrieben</t>
        </is>
      </c>
    </row>
    <row r="19" ht="13" customHeight="1">
      <c r="B19" s="28" t="inlineStr">
        <is>
          <t>6 Praxisfall</t>
        </is>
      </c>
      <c r="C19" s="13" t="inlineStr">
        <is>
          <t>Anteilsspalte</t>
        </is>
      </c>
      <c r="D19" s="29" t="inlineStr">
        <is>
          <t>=[@Gesamt]/SUMME(Jahresumsatz[Gesamt])   - als Prozent formatieren</t>
        </is>
      </c>
    </row>
    <row r="20" ht="13" customHeight="1">
      <c r="B20" s="28" t="inlineStr"/>
      <c r="C20" s="13" t="inlineStr">
        <is>
          <t>Kontrollwerte</t>
        </is>
      </c>
      <c r="D20" s="29" t="inlineStr">
        <is>
          <t>Jahresumsatz = 4.474.900  |  stärkster Monat: Nr. 7 mit 10.30 %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2026-08-21T07:44:14Z</dcterms:created>
  <dcterms:modified xsi:type="dcterms:W3CDTF">2026-08-21T07:44:14Z</dcterms:modified>
</cp:coreProperties>
</file>