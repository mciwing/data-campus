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Rohdaten Umsatz" sheetId="2" state="visible" r:id="rId2"/>
    <sheet name="Rohdaten Kunden" sheetId="3" state="visible" r:id="rId3"/>
    <sheet name="Kreuztabelle" sheetId="4" state="visible" r:id="rId4"/>
    <sheet name="1 Erste Abfrage" sheetId="5" state="visible" r:id="rId5"/>
    <sheet name="2 Transformieren" sheetId="6" state="visible" r:id="rId6"/>
    <sheet name="3 Zusammenführen" sheetId="7" state="visible" r:id="rId7"/>
    <sheet name="4 Entpivotieren" sheetId="8" state="visible" r:id="rId8"/>
    <sheet name="5 Aus Ordner" sheetId="9" state="visible" r:id="rId9"/>
    <sheet name="6 Kontrollwerte" sheetId="10" state="visible" r:id="rId10"/>
    <sheet name="Lösung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b val="1"/>
      <sz val="13"/>
    </font>
    <font>
      <color rgb="00375623"/>
      <sz val="10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5" fillId="3" borderId="2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2" borderId="1" pivotButton="0" quotePrefix="0" xfId="0"/>
    <xf numFmtId="0" fontId="8" fillId="0" borderId="0" pivotButton="0" quotePrefix="0" xfId="0"/>
    <xf numFmtId="4" fontId="0" fillId="2" borderId="1" pivotButton="0" quotePrefix="0" xfId="0"/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_kunden" displayName="tab_kunden" ref="B1:E9" headerRowCount="1">
  <autoFilter ref="B1:E9"/>
  <tableColumns count="4">
    <tableColumn id="2" name="KundenID"/>
    <tableColumn id="3" name="KundenName"/>
    <tableColumn id="4" name="Region"/>
    <tableColumn id="5" name="Rabatt"/>
  </tableColumns>
  <tableStyleInfo name="TableStyleMedium4" showRowStripes="1"/>
</table>
</file>

<file path=xl/tables/table2.xml><?xml version="1.0" encoding="utf-8"?>
<table xmlns="http://schemas.openxmlformats.org/spreadsheetml/2006/main" id="2" name="tab_kreuz" displayName="tab_kreuz" ref="B1:N5" headerRowCount="1">
  <autoFilter ref="B1:N5"/>
  <tableColumns count="13">
    <tableColumn id="2" name="Region"/>
    <tableColumn id="3" name="Jän"/>
    <tableColumn id="4" name="Feb"/>
    <tableColumn id="5" name="Mär"/>
    <tableColumn id="6" name="Apr"/>
    <tableColumn id="7" name="Mai"/>
    <tableColumn id="8" name="Jun"/>
    <tableColumn id="9" name="Jul"/>
    <tableColumn id="10" name="Aug"/>
    <tableColumn id="11" name="Sep"/>
    <tableColumn id="12" name="Okt"/>
    <tableColumn id="13" name="Nov"/>
    <tableColumn id="14" name="Dez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07_PQ_Einfach.xlsx  -  Power Query</t>
        </is>
      </c>
    </row>
    <row r="4" ht="56" customHeight="1">
      <c r="B4" s="2" t="inlineStr">
        <is>
          <t>Power Query ist der ETL-Werkzeugkasten von Excel: Daten holen (Extract), aufbereiten (Transform) und laden (Load). Der große Unterschied zur Handarbeit: Jeder Schritt wird aufgezeichnet und lässt sich bei neuen Daten per Klick wiederholen.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Rohdaten Umsatz</t>
        </is>
      </c>
      <c r="C23" s="13" t="inlineStr">
        <is>
          <t>Unsaubere Verkaufsliste - genau so kommt sie aus dem Vorsystem</t>
        </is>
      </c>
    </row>
    <row r="24">
      <c r="B24" s="12" t="inlineStr">
        <is>
          <t>Rohdaten Kunden</t>
        </is>
      </c>
      <c r="C24" s="13" t="inlineStr">
        <is>
          <t>Kundenstamm für die Zusammenführung von Abfragen</t>
        </is>
      </c>
    </row>
    <row r="25">
      <c r="B25" s="12" t="inlineStr">
        <is>
          <t>Kreuztabelle</t>
        </is>
      </c>
      <c r="C25" s="13" t="inlineStr">
        <is>
          <t>Pivot-förmige Tabelle zum Entpivotieren</t>
        </is>
      </c>
    </row>
    <row r="26">
      <c r="B26" s="12" t="inlineStr">
        <is>
          <t>1 Erste Abfrage</t>
        </is>
      </c>
      <c r="C26" s="13" t="inlineStr">
        <is>
          <t>Aus Tabelle/Bereich - Editor - transformieren - laden</t>
        </is>
      </c>
    </row>
    <row r="27">
      <c r="B27" s="12" t="inlineStr">
        <is>
          <t>2 Transformieren</t>
        </is>
      </c>
      <c r="C27" s="13" t="inlineStr">
        <is>
          <t>Spalten teilen, Werte ersetzen, Datentypen, Spalte hinzufügen</t>
        </is>
      </c>
    </row>
    <row r="28">
      <c r="B28" s="12" t="inlineStr">
        <is>
          <t>3 Zusammenführen</t>
        </is>
      </c>
      <c r="C28" s="13" t="inlineStr">
        <is>
          <t>Zwei Abfragen über ein Schlüsselfeld verbinden</t>
        </is>
      </c>
    </row>
    <row r="29">
      <c r="B29" s="12" t="inlineStr">
        <is>
          <t>4 Entpivotieren</t>
        </is>
      </c>
      <c r="C29" s="13" t="inlineStr">
        <is>
          <t>Kreuztabelle in eine auswertbare Liste umwandeln</t>
        </is>
      </c>
    </row>
    <row r="30">
      <c r="B30" s="12" t="inlineStr">
        <is>
          <t>5 Aus Ordner</t>
        </is>
      </c>
      <c r="C30" s="13" t="inlineStr">
        <is>
          <t>Alle Dateien eines Ordners in einem Rutsch einlesen</t>
        </is>
      </c>
    </row>
    <row r="31">
      <c r="B31" s="12" t="inlineStr">
        <is>
          <t>6 Kontrollwerte</t>
        </is>
      </c>
      <c r="C31" s="13" t="inlineStr">
        <is>
          <t>Prüfe, ob deine geladenen Daten stimmen</t>
        </is>
      </c>
    </row>
    <row r="33" ht="42" customHeight="1">
      <c r="B33" s="14" t="inlineStr">
        <is>
          <t>Für Aufgabe 5 brauchst du den Ordner 07_PQ_Ordner mit den Jahresdateien 2010 bis 2016. Für die externe Abfrage in Aufgabe 1 die Datei 07_PQ_Quelle.xlsx.</t>
        </is>
      </c>
    </row>
    <row r="34" ht="28" customHeight="1">
      <c r="B34" s="14" t="inlineStr">
        <is>
          <t>Wichtig: Nach dem Laden erscheinen die Daten auf NEUEN Arbeitsblättern - die legt Excel selbst 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1:G16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6" customWidth="1" min="4" max="4"/>
    <col width="18" customWidth="1" min="5" max="5"/>
    <col width="12" customWidth="1" min="6" max="6"/>
    <col width="14" customWidth="1" min="7" max="7"/>
  </cols>
  <sheetData>
    <row r="1">
      <c r="B1" s="15" t="inlineStr">
        <is>
          <t>Verkaufsauswertung 2025</t>
        </is>
      </c>
    </row>
    <row r="2">
      <c r="B2" s="16" t="inlineStr">
        <is>
          <t>Erstellt am 05.01.2026 - Vorsystem SAP-Export</t>
        </is>
      </c>
    </row>
    <row r="3">
      <c r="B3" s="16" t="inlineStr">
        <is>
          <t>Achtung: Diese drei Zeilen gehören nicht zu den Daten!</t>
        </is>
      </c>
    </row>
    <row r="5">
      <c r="B5" s="17" t="inlineStr">
        <is>
          <t>BestellNr</t>
        </is>
      </c>
      <c r="C5" s="17" t="inlineStr">
        <is>
          <t>Datum</t>
        </is>
      </c>
      <c r="D5" s="17" t="inlineStr">
        <is>
          <t>Kunde</t>
        </is>
      </c>
      <c r="E5" s="17" t="inlineStr">
        <is>
          <t>Produkt</t>
        </is>
      </c>
      <c r="F5" s="17" t="inlineStr">
        <is>
          <t>Menge</t>
        </is>
      </c>
      <c r="G5" s="17" t="inlineStr">
        <is>
          <t>Umsatz</t>
        </is>
      </c>
    </row>
    <row r="6">
      <c r="B6" t="n">
        <v>50000</v>
      </c>
      <c r="C6" t="inlineStr">
        <is>
          <t>23.08.2025</t>
        </is>
      </c>
      <c r="D6" t="inlineStr">
        <is>
          <t>1003 - Tirol Technik KG</t>
        </is>
      </c>
      <c r="E6" t="inlineStr">
        <is>
          <t>Pumpe P9</t>
        </is>
      </c>
      <c r="F6" t="n">
        <v>2</v>
      </c>
      <c r="G6" t="inlineStr">
        <is>
          <t>597,34 EUR</t>
        </is>
      </c>
    </row>
    <row r="7">
      <c r="B7" t="n">
        <v>50001</v>
      </c>
      <c r="C7" t="inlineStr">
        <is>
          <t>26.11.2025</t>
        </is>
      </c>
      <c r="D7" t="inlineStr">
        <is>
          <t>1006 - Bergland Bau AG</t>
        </is>
      </c>
      <c r="E7" t="inlineStr">
        <is>
          <t>Sensor A1</t>
        </is>
      </c>
      <c r="F7" t="n">
        <v>20</v>
      </c>
      <c r="G7" t="inlineStr">
        <is>
          <t>539,8 EUR</t>
        </is>
      </c>
    </row>
    <row r="8">
      <c r="B8" t="n">
        <v>50002</v>
      </c>
      <c r="C8" t="inlineStr">
        <is>
          <t>11.12.2025</t>
        </is>
      </c>
      <c r="D8" t="inlineStr">
        <is>
          <t>1005 - Süd Elektro OG</t>
        </is>
      </c>
      <c r="E8" t="inlineStr">
        <is>
          <t>Motor M7</t>
        </is>
      </c>
      <c r="F8" t="n">
        <v>35</v>
      </c>
      <c r="G8" t="inlineStr">
        <is>
          <t>4244,8 EUR</t>
        </is>
      </c>
    </row>
    <row r="9">
      <c r="B9" t="n">
        <v>50003</v>
      </c>
      <c r="C9" t="inlineStr">
        <is>
          <t>18.01.2025</t>
        </is>
      </c>
      <c r="D9" t="inlineStr">
        <is>
          <t>1003 - Tirol Technik KG</t>
        </is>
      </c>
      <c r="E9" t="inlineStr">
        <is>
          <t>Pumpe P9</t>
        </is>
      </c>
      <c r="F9" t="n">
        <v>24</v>
      </c>
      <c r="G9" t="inlineStr">
        <is>
          <t>1939,2 EUR</t>
        </is>
      </c>
    </row>
    <row r="10">
      <c r="B10" t="n">
        <v>50004</v>
      </c>
      <c r="C10" t="inlineStr">
        <is>
          <t>09.04.2025</t>
        </is>
      </c>
      <c r="D10" t="inlineStr">
        <is>
          <t>1002 - Donau Logistik AG</t>
        </is>
      </c>
      <c r="E10" t="inlineStr">
        <is>
          <t>Sensor A1</t>
        </is>
      </c>
      <c r="F10" t="n">
        <v>9</v>
      </c>
      <c r="G10" t="inlineStr">
        <is>
          <t>558,09 EUR</t>
        </is>
      </c>
    </row>
    <row r="11">
      <c r="B11" t="n">
        <v>50005</v>
      </c>
      <c r="C11" t="inlineStr">
        <is>
          <t>08.01.2025</t>
        </is>
      </c>
      <c r="D11" t="inlineStr">
        <is>
          <t>1001 - Alpen Handel GmbH</t>
        </is>
      </c>
      <c r="E11" t="inlineStr">
        <is>
          <t>Sensor A1</t>
        </is>
      </c>
      <c r="F11" t="n">
        <v>10</v>
      </c>
      <c r="G11" t="inlineStr">
        <is>
          <t>1756,0 EUR</t>
        </is>
      </c>
    </row>
    <row r="12">
      <c r="B12" t="n">
        <v>50006</v>
      </c>
      <c r="C12" t="inlineStr">
        <is>
          <t>27.08.2025</t>
        </is>
      </c>
      <c r="D12" t="inlineStr">
        <is>
          <t>1005 - Süd Elektro OG</t>
        </is>
      </c>
      <c r="E12" t="inlineStr">
        <is>
          <t>Ventil V3</t>
        </is>
      </c>
      <c r="F12" t="n">
        <v>36</v>
      </c>
      <c r="G12" t="inlineStr">
        <is>
          <t>2262,24 EUR</t>
        </is>
      </c>
    </row>
    <row r="13">
      <c r="B13" t="n">
        <v>50007</v>
      </c>
      <c r="C13" t="inlineStr">
        <is>
          <t>04.04.2025</t>
        </is>
      </c>
      <c r="D13" t="inlineStr">
        <is>
          <t>1002 - Donau Logistik AG</t>
        </is>
      </c>
      <c r="E13" t="inlineStr">
        <is>
          <t>Motor M7</t>
        </is>
      </c>
      <c r="F13" t="n">
        <v>9</v>
      </c>
      <c r="G13" t="inlineStr">
        <is>
          <t>836,46 EUR</t>
        </is>
      </c>
    </row>
    <row r="14">
      <c r="B14" t="n">
        <v>50008</v>
      </c>
      <c r="C14" t="inlineStr">
        <is>
          <t>12.02.2025</t>
        </is>
      </c>
      <c r="D14" t="inlineStr">
        <is>
          <t>1006 - Bergland Bau AG</t>
        </is>
      </c>
      <c r="E14" t="inlineStr">
        <is>
          <t>Pumpe P9</t>
        </is>
      </c>
      <c r="F14" t="n">
        <v>35</v>
      </c>
      <c r="G14" t="inlineStr">
        <is>
          <t>4457,25 EUR</t>
        </is>
      </c>
    </row>
    <row r="15">
      <c r="B15" t="n">
        <v>50009</v>
      </c>
      <c r="C15" t="inlineStr">
        <is>
          <t>07.06.2025</t>
        </is>
      </c>
      <c r="D15" t="inlineStr">
        <is>
          <t>1005 - Süd Elektro OG</t>
        </is>
      </c>
      <c r="E15" t="inlineStr">
        <is>
          <t>Pumpe P9</t>
        </is>
      </c>
      <c r="F15" t="n">
        <v>40</v>
      </c>
      <c r="G15" t="inlineStr">
        <is>
          <t>11519,6 EUR</t>
        </is>
      </c>
    </row>
    <row r="16">
      <c r="B16" t="n">
        <v>50010</v>
      </c>
      <c r="C16" t="inlineStr">
        <is>
          <t>07.09.2025</t>
        </is>
      </c>
      <c r="D16" t="inlineStr">
        <is>
          <t>1006 - Bergland Bau AG</t>
        </is>
      </c>
      <c r="E16" t="inlineStr">
        <is>
          <t>Regler R5</t>
        </is>
      </c>
      <c r="F16" t="n">
        <v>33</v>
      </c>
      <c r="G16" t="inlineStr">
        <is>
          <t>8444,37 EUR</t>
        </is>
      </c>
    </row>
    <row r="17">
      <c r="B17" t="n">
        <v>50011</v>
      </c>
      <c r="C17" t="inlineStr">
        <is>
          <t>11.10.2025</t>
        </is>
      </c>
      <c r="D17" t="inlineStr">
        <is>
          <t>1005 - Süd Elektro OG</t>
        </is>
      </c>
      <c r="E17" t="inlineStr">
        <is>
          <t>Ventil V3</t>
        </is>
      </c>
      <c r="F17" t="n">
        <v>5</v>
      </c>
      <c r="G17" t="inlineStr">
        <is>
          <t>1124,75 EUR</t>
        </is>
      </c>
    </row>
    <row r="18">
      <c r="B18" t="n">
        <v>50012</v>
      </c>
      <c r="C18" t="inlineStr">
        <is>
          <t>08.10.2025</t>
        </is>
      </c>
      <c r="D18" t="inlineStr">
        <is>
          <t>1007 - Seehafen Trading</t>
        </is>
      </c>
      <c r="E18" t="inlineStr">
        <is>
          <t>Pumpe P9</t>
        </is>
      </c>
      <c r="F18" t="n">
        <v>30</v>
      </c>
      <c r="G18" t="inlineStr">
        <is>
          <t>10326,6 EUR</t>
        </is>
      </c>
    </row>
    <row r="19">
      <c r="B19" t="n">
        <v>50013</v>
      </c>
      <c r="C19" t="inlineStr">
        <is>
          <t>17.10.2025</t>
        </is>
      </c>
      <c r="D19" t="inlineStr">
        <is>
          <t>1005 - Süd Elektro OG</t>
        </is>
      </c>
      <c r="E19" t="inlineStr">
        <is>
          <t>Pumpe P9</t>
        </is>
      </c>
      <c r="F19" t="n">
        <v>5</v>
      </c>
      <c r="G19" t="inlineStr">
        <is>
          <t>1443,7 EUR</t>
        </is>
      </c>
    </row>
    <row r="20">
      <c r="B20" t="n">
        <v>50014</v>
      </c>
      <c r="C20" t="inlineStr">
        <is>
          <t>26.05.2025</t>
        </is>
      </c>
      <c r="D20" t="inlineStr">
        <is>
          <t>1001 - Alpen Handel GmbH</t>
        </is>
      </c>
      <c r="E20" t="inlineStr">
        <is>
          <t>Sensor A1</t>
        </is>
      </c>
      <c r="F20" t="n">
        <v>17</v>
      </c>
      <c r="G20" t="inlineStr">
        <is>
          <t>4400,62 EUR</t>
        </is>
      </c>
    </row>
    <row r="21">
      <c r="B21" t="n">
        <v>50015</v>
      </c>
      <c r="C21" t="inlineStr">
        <is>
          <t>27.11.2025</t>
        </is>
      </c>
      <c r="D21" t="inlineStr">
        <is>
          <t>1002 - Donau Logistik AG</t>
        </is>
      </c>
      <c r="E21" t="inlineStr">
        <is>
          <t>Motor M7</t>
        </is>
      </c>
      <c r="F21" t="n">
        <v>14</v>
      </c>
      <c r="G21" t="inlineStr">
        <is>
          <t>2600,64 EUR</t>
        </is>
      </c>
    </row>
    <row r="22">
      <c r="B22" t="n">
        <v>50016</v>
      </c>
      <c r="C22" t="inlineStr">
        <is>
          <t>11.10.2025</t>
        </is>
      </c>
      <c r="D22" t="inlineStr">
        <is>
          <t>1003 - Tirol Technik KG</t>
        </is>
      </c>
      <c r="E22" t="inlineStr">
        <is>
          <t>Sensor A1</t>
        </is>
      </c>
      <c r="F22" t="n">
        <v>40</v>
      </c>
      <c r="G22" t="inlineStr">
        <is>
          <t>13838,8 EUR</t>
        </is>
      </c>
    </row>
    <row r="23">
      <c r="B23" t="n">
        <v>50017</v>
      </c>
      <c r="C23" t="inlineStr">
        <is>
          <t>09.01.2025</t>
        </is>
      </c>
      <c r="D23" t="inlineStr">
        <is>
          <t>1005 - Süd Elektro OG</t>
        </is>
      </c>
      <c r="E23" t="inlineStr">
        <is>
          <t>Sensor A1</t>
        </is>
      </c>
      <c r="F23" t="n">
        <v>36</v>
      </c>
      <c r="G23" t="inlineStr">
        <is>
          <t>8880,12 EUR</t>
        </is>
      </c>
    </row>
    <row r="24">
      <c r="B24" t="n">
        <v>50018</v>
      </c>
      <c r="C24" t="inlineStr">
        <is>
          <t>10.12.2025</t>
        </is>
      </c>
      <c r="D24" t="inlineStr">
        <is>
          <t>1006 - Bergland Bau AG</t>
        </is>
      </c>
      <c r="E24" t="inlineStr">
        <is>
          <t>Ventil V3</t>
        </is>
      </c>
      <c r="F24" t="n">
        <v>28</v>
      </c>
      <c r="G24" t="inlineStr">
        <is>
          <t>2565,92 EUR</t>
        </is>
      </c>
    </row>
    <row r="25">
      <c r="B25" t="n">
        <v>50019</v>
      </c>
      <c r="C25" t="inlineStr">
        <is>
          <t>01.11.2025</t>
        </is>
      </c>
      <c r="D25" t="inlineStr">
        <is>
          <t>1003 - Tirol Technik KG</t>
        </is>
      </c>
      <c r="E25" t="inlineStr">
        <is>
          <t>Sensor B2</t>
        </is>
      </c>
      <c r="F25" t="n">
        <v>16</v>
      </c>
      <c r="G25" t="inlineStr">
        <is>
          <t>2621,6 EUR</t>
        </is>
      </c>
    </row>
    <row r="26">
      <c r="B26" t="n">
        <v>50020</v>
      </c>
      <c r="C26" t="inlineStr">
        <is>
          <t>04.10.2025</t>
        </is>
      </c>
      <c r="D26" t="inlineStr">
        <is>
          <t>1004 - Wiener Werke GmbH</t>
        </is>
      </c>
      <c r="E26" t="inlineStr">
        <is>
          <t>Pumpe P9</t>
        </is>
      </c>
      <c r="F26" t="n">
        <v>28</v>
      </c>
      <c r="G26" t="inlineStr">
        <is>
          <t>1363,6 EUR</t>
        </is>
      </c>
    </row>
    <row r="27">
      <c r="B27" t="n">
        <v>50021</v>
      </c>
      <c r="C27" t="inlineStr">
        <is>
          <t>15.09.2025</t>
        </is>
      </c>
      <c r="D27" t="inlineStr">
        <is>
          <t>1007 - Seehafen Trading</t>
        </is>
      </c>
      <c r="E27" t="inlineStr">
        <is>
          <t>Motor M7</t>
        </is>
      </c>
      <c r="F27" t="n">
        <v>19</v>
      </c>
      <c r="G27" t="inlineStr">
        <is>
          <t>5194,03 EUR</t>
        </is>
      </c>
    </row>
    <row r="28">
      <c r="B28" t="n">
        <v>50022</v>
      </c>
      <c r="C28" t="inlineStr">
        <is>
          <t>25.10.2025</t>
        </is>
      </c>
      <c r="D28" t="inlineStr">
        <is>
          <t>1002 - Donau Logistik AG</t>
        </is>
      </c>
      <c r="E28" t="inlineStr">
        <is>
          <t>Sensor A1</t>
        </is>
      </c>
      <c r="F28" t="n">
        <v>29</v>
      </c>
      <c r="G28" t="inlineStr">
        <is>
          <t>4380,45 EUR</t>
        </is>
      </c>
    </row>
    <row r="29">
      <c r="B29" t="n">
        <v>50023</v>
      </c>
      <c r="C29" t="inlineStr">
        <is>
          <t>08.03.2025</t>
        </is>
      </c>
      <c r="D29" t="inlineStr">
        <is>
          <t>1008 - Steirische Stahl AG</t>
        </is>
      </c>
      <c r="E29" t="inlineStr">
        <is>
          <t>Sensor A1</t>
        </is>
      </c>
      <c r="F29" t="n">
        <v>20</v>
      </c>
      <c r="G29" t="inlineStr">
        <is>
          <t>5316,0 EUR</t>
        </is>
      </c>
    </row>
    <row r="30">
      <c r="B30" t="n">
        <v>50024</v>
      </c>
      <c r="C30" t="inlineStr">
        <is>
          <t>18.06.2025</t>
        </is>
      </c>
      <c r="D30" t="inlineStr">
        <is>
          <t>1007 - Seehafen Trading</t>
        </is>
      </c>
      <c r="E30" t="inlineStr">
        <is>
          <t>Regler R5</t>
        </is>
      </c>
      <c r="F30" t="n">
        <v>21</v>
      </c>
      <c r="G30" t="inlineStr">
        <is>
          <t>834,75 EUR</t>
        </is>
      </c>
    </row>
    <row r="31">
      <c r="B31" t="n">
        <v>50025</v>
      </c>
      <c r="C31" t="inlineStr">
        <is>
          <t>22.12.2025</t>
        </is>
      </c>
      <c r="D31" t="inlineStr">
        <is>
          <t>1002 - Donau Logistik AG</t>
        </is>
      </c>
      <c r="E31" t="inlineStr">
        <is>
          <t>Regler R5</t>
        </is>
      </c>
      <c r="F31" t="n">
        <v>18</v>
      </c>
      <c r="G31" t="inlineStr">
        <is>
          <t>3860,46 EUR</t>
        </is>
      </c>
    </row>
    <row r="32">
      <c r="B32" t="n">
        <v>50026</v>
      </c>
      <c r="C32" t="inlineStr">
        <is>
          <t>02.06.2025</t>
        </is>
      </c>
      <c r="D32" t="inlineStr">
        <is>
          <t>1008 - Steirische Stahl AG</t>
        </is>
      </c>
      <c r="E32" t="inlineStr">
        <is>
          <t>Motor M7</t>
        </is>
      </c>
      <c r="F32" t="n">
        <v>27</v>
      </c>
      <c r="G32" t="inlineStr">
        <is>
          <t>1659,15 EUR</t>
        </is>
      </c>
    </row>
    <row r="33">
      <c r="B33" t="n">
        <v>50027</v>
      </c>
      <c r="C33" t="inlineStr">
        <is>
          <t>20.09.2025</t>
        </is>
      </c>
      <c r="D33" t="inlineStr">
        <is>
          <t>1008 - Steirische Stahl AG</t>
        </is>
      </c>
      <c r="E33" t="inlineStr">
        <is>
          <t>Sensor B2</t>
        </is>
      </c>
      <c r="F33" t="n">
        <v>10</v>
      </c>
      <c r="G33" t="inlineStr">
        <is>
          <t>2755,0 EUR</t>
        </is>
      </c>
    </row>
    <row r="34">
      <c r="B34" t="n">
        <v>50028</v>
      </c>
      <c r="C34" t="inlineStr">
        <is>
          <t>04.07.2025</t>
        </is>
      </c>
      <c r="D34" t="inlineStr">
        <is>
          <t>1001 - Alpen Handel GmbH</t>
        </is>
      </c>
      <c r="E34" t="inlineStr">
        <is>
          <t>Regler R5</t>
        </is>
      </c>
      <c r="F34" t="n">
        <v>38</v>
      </c>
      <c r="G34" t="inlineStr">
        <is>
          <t>4643,98 EUR</t>
        </is>
      </c>
    </row>
    <row r="35">
      <c r="B35" t="n">
        <v>50029</v>
      </c>
      <c r="C35" t="inlineStr">
        <is>
          <t>02.10.2025</t>
        </is>
      </c>
      <c r="D35" t="inlineStr">
        <is>
          <t>1001 - Alpen Handel GmbH</t>
        </is>
      </c>
      <c r="E35" t="inlineStr">
        <is>
          <t>Sensor A1</t>
        </is>
      </c>
      <c r="F35" t="n">
        <v>26</v>
      </c>
      <c r="G35" t="inlineStr">
        <is>
          <t>5828,68 EUR</t>
        </is>
      </c>
    </row>
    <row r="36">
      <c r="B36" t="n">
        <v>50030</v>
      </c>
      <c r="C36" t="inlineStr">
        <is>
          <t>07.03.2025</t>
        </is>
      </c>
      <c r="D36" t="inlineStr">
        <is>
          <t>1008 - Steirische Stahl AG</t>
        </is>
      </c>
      <c r="E36" t="inlineStr">
        <is>
          <t>Motor M7</t>
        </is>
      </c>
      <c r="F36" t="n">
        <v>33</v>
      </c>
      <c r="G36" t="inlineStr">
        <is>
          <t>1484,01 EUR</t>
        </is>
      </c>
    </row>
    <row r="37">
      <c r="B37" t="n">
        <v>50031</v>
      </c>
      <c r="C37" t="inlineStr">
        <is>
          <t>17.06.2025</t>
        </is>
      </c>
      <c r="D37" t="inlineStr">
        <is>
          <t>1007 - Seehafen Trading</t>
        </is>
      </c>
      <c r="E37" t="inlineStr">
        <is>
          <t>Motor M7</t>
        </is>
      </c>
      <c r="F37" t="n">
        <v>11</v>
      </c>
      <c r="G37" t="inlineStr">
        <is>
          <t>3002,34 EUR</t>
        </is>
      </c>
    </row>
    <row r="38">
      <c r="B38" t="n">
        <v>50032</v>
      </c>
      <c r="C38" t="inlineStr">
        <is>
          <t>15.03.2025</t>
        </is>
      </c>
      <c r="D38" t="inlineStr">
        <is>
          <t>1002 - Donau Logistik AG</t>
        </is>
      </c>
      <c r="E38" t="inlineStr">
        <is>
          <t>Sensor B2</t>
        </is>
      </c>
      <c r="F38" t="n">
        <v>9</v>
      </c>
      <c r="G38" t="inlineStr">
        <is>
          <t>1335,78 EUR</t>
        </is>
      </c>
    </row>
    <row r="39">
      <c r="B39" t="n">
        <v>50033</v>
      </c>
      <c r="C39" t="inlineStr">
        <is>
          <t>23.05.2025</t>
        </is>
      </c>
      <c r="D39" t="inlineStr">
        <is>
          <t>1002 - Donau Logistik AG</t>
        </is>
      </c>
      <c r="E39" t="inlineStr">
        <is>
          <t>Motor M7</t>
        </is>
      </c>
      <c r="F39" t="n">
        <v>33</v>
      </c>
      <c r="G39" t="inlineStr">
        <is>
          <t>9247,92 EUR</t>
        </is>
      </c>
    </row>
    <row r="40">
      <c r="B40" t="n">
        <v>50034</v>
      </c>
      <c r="C40" t="inlineStr">
        <is>
          <t>28.10.2025</t>
        </is>
      </c>
      <c r="D40" t="inlineStr">
        <is>
          <t>1005 - Süd Elektro OG</t>
        </is>
      </c>
      <c r="E40" t="inlineStr">
        <is>
          <t>Sensor A1</t>
        </is>
      </c>
      <c r="F40" t="n">
        <v>37</v>
      </c>
      <c r="G40" t="inlineStr">
        <is>
          <t>6164,2 EUR</t>
        </is>
      </c>
    </row>
    <row r="41">
      <c r="B41" t="n">
        <v>50035</v>
      </c>
      <c r="C41" t="inlineStr">
        <is>
          <t>16.02.2025</t>
        </is>
      </c>
      <c r="D41" t="inlineStr">
        <is>
          <t>1003 - Tirol Technik KG</t>
        </is>
      </c>
      <c r="E41" t="inlineStr">
        <is>
          <t>Ventil V3</t>
        </is>
      </c>
      <c r="F41" t="n">
        <v>25</v>
      </c>
      <c r="G41" t="inlineStr">
        <is>
          <t>4392,0 EUR</t>
        </is>
      </c>
    </row>
    <row r="42">
      <c r="B42" t="n">
        <v>50036</v>
      </c>
      <c r="C42" t="inlineStr">
        <is>
          <t>23.05.2025</t>
        </is>
      </c>
      <c r="D42" t="inlineStr">
        <is>
          <t>1003 - Tirol Technik KG</t>
        </is>
      </c>
      <c r="E42" t="inlineStr">
        <is>
          <t>Pumpe P9</t>
        </is>
      </c>
      <c r="F42" t="n">
        <v>24</v>
      </c>
      <c r="G42" t="inlineStr">
        <is>
          <t>7960,08 EUR</t>
        </is>
      </c>
    </row>
    <row r="43">
      <c r="B43" t="n">
        <v>50037</v>
      </c>
      <c r="C43" t="inlineStr">
        <is>
          <t>23.05.2025</t>
        </is>
      </c>
      <c r="D43" t="inlineStr">
        <is>
          <t>1002 - Donau Logistik AG</t>
        </is>
      </c>
      <c r="E43" t="inlineStr">
        <is>
          <t>Motor M7</t>
        </is>
      </c>
      <c r="F43" t="n">
        <v>36</v>
      </c>
      <c r="G43" t="inlineStr">
        <is>
          <t>8910,0 EUR</t>
        </is>
      </c>
    </row>
    <row r="44">
      <c r="B44" t="n">
        <v>50038</v>
      </c>
      <c r="C44" t="inlineStr">
        <is>
          <t>10.08.2025</t>
        </is>
      </c>
      <c r="D44" t="inlineStr">
        <is>
          <t>1008 - Steirische Stahl AG</t>
        </is>
      </c>
      <c r="E44" t="inlineStr">
        <is>
          <t>Sensor A1</t>
        </is>
      </c>
      <c r="F44" t="n">
        <v>12</v>
      </c>
      <c r="G44" t="inlineStr">
        <is>
          <t>2173,32 EUR</t>
        </is>
      </c>
    </row>
    <row r="45">
      <c r="B45" t="n">
        <v>50039</v>
      </c>
      <c r="C45" t="inlineStr">
        <is>
          <t>03.06.2025</t>
        </is>
      </c>
      <c r="D45" t="inlineStr">
        <is>
          <t>1005 - Süd Elektro OG</t>
        </is>
      </c>
      <c r="E45" t="inlineStr">
        <is>
          <t>Regler R5</t>
        </is>
      </c>
      <c r="F45" t="n">
        <v>11</v>
      </c>
      <c r="G45" t="inlineStr">
        <is>
          <t>1346,73 EUR</t>
        </is>
      </c>
    </row>
    <row r="46">
      <c r="B46" t="n">
        <v>50040</v>
      </c>
      <c r="C46" t="inlineStr">
        <is>
          <t>26.07.2025</t>
        </is>
      </c>
      <c r="D46" t="inlineStr">
        <is>
          <t>1004 - Wiener Werke GmbH</t>
        </is>
      </c>
      <c r="E46" t="inlineStr">
        <is>
          <t>Pumpe P9</t>
        </is>
      </c>
      <c r="F46" t="n">
        <v>33</v>
      </c>
      <c r="G46" t="inlineStr">
        <is>
          <t>3516,48 EUR</t>
        </is>
      </c>
    </row>
    <row r="47">
      <c r="B47" t="n">
        <v>50041</v>
      </c>
      <c r="C47" t="inlineStr">
        <is>
          <t>03.02.2025</t>
        </is>
      </c>
      <c r="D47" t="inlineStr">
        <is>
          <t>1006 - Bergland Bau AG</t>
        </is>
      </c>
      <c r="E47" t="inlineStr">
        <is>
          <t>Pumpe P9</t>
        </is>
      </c>
      <c r="F47" t="n">
        <v>4</v>
      </c>
      <c r="G47" t="inlineStr">
        <is>
          <t>272,16 EUR</t>
        </is>
      </c>
    </row>
    <row r="48">
      <c r="B48" t="n">
        <v>50042</v>
      </c>
      <c r="C48" t="inlineStr">
        <is>
          <t>18.09.2025</t>
        </is>
      </c>
      <c r="D48" t="inlineStr">
        <is>
          <t>1007 - Seehafen Trading</t>
        </is>
      </c>
      <c r="E48" t="inlineStr">
        <is>
          <t>Sensor B2</t>
        </is>
      </c>
      <c r="F48" t="n">
        <v>13</v>
      </c>
      <c r="G48" t="inlineStr">
        <is>
          <t>4481,1 EUR</t>
        </is>
      </c>
    </row>
    <row r="49">
      <c r="B49" t="n">
        <v>50043</v>
      </c>
      <c r="C49" t="inlineStr">
        <is>
          <t>10.10.2025</t>
        </is>
      </c>
      <c r="D49" t="inlineStr">
        <is>
          <t>1007 - Seehafen Trading</t>
        </is>
      </c>
      <c r="E49" t="inlineStr">
        <is>
          <t>Ventil V3</t>
        </is>
      </c>
      <c r="F49" t="n">
        <v>2</v>
      </c>
      <c r="G49" t="inlineStr">
        <is>
          <t>594,88 EUR</t>
        </is>
      </c>
    </row>
    <row r="50">
      <c r="B50" t="n">
        <v>50044</v>
      </c>
      <c r="C50" t="inlineStr">
        <is>
          <t>08.07.2025</t>
        </is>
      </c>
      <c r="D50" t="inlineStr">
        <is>
          <t>1003 - Tirol Technik KG</t>
        </is>
      </c>
      <c r="E50" t="inlineStr">
        <is>
          <t>Regler R5</t>
        </is>
      </c>
      <c r="F50" t="n">
        <v>17</v>
      </c>
      <c r="G50" t="inlineStr">
        <is>
          <t>5031,66 EUR</t>
        </is>
      </c>
    </row>
    <row r="51">
      <c r="B51" t="n">
        <v>50045</v>
      </c>
      <c r="C51" t="inlineStr">
        <is>
          <t>08.12.2025</t>
        </is>
      </c>
      <c r="D51" t="inlineStr">
        <is>
          <t>1005 - Süd Elektro OG</t>
        </is>
      </c>
      <c r="E51" t="inlineStr">
        <is>
          <t>Regler R5</t>
        </is>
      </c>
      <c r="F51" t="n">
        <v>21</v>
      </c>
      <c r="G51" t="inlineStr">
        <is>
          <t>4722,9 EUR</t>
        </is>
      </c>
    </row>
    <row r="52">
      <c r="B52" t="n">
        <v>50046</v>
      </c>
      <c r="C52" t="inlineStr">
        <is>
          <t>27.07.2025</t>
        </is>
      </c>
      <c r="D52" t="inlineStr">
        <is>
          <t>1003 - Tirol Technik KG</t>
        </is>
      </c>
      <c r="E52" t="inlineStr">
        <is>
          <t>Ventil V3</t>
        </is>
      </c>
      <c r="F52" t="n">
        <v>8</v>
      </c>
      <c r="G52" t="inlineStr">
        <is>
          <t>2400,48 EUR</t>
        </is>
      </c>
    </row>
    <row r="53">
      <c r="B53" t="n">
        <v>50047</v>
      </c>
      <c r="C53" t="inlineStr">
        <is>
          <t>22.10.2025</t>
        </is>
      </c>
      <c r="D53" t="inlineStr">
        <is>
          <t>1007 - Seehafen Trading</t>
        </is>
      </c>
      <c r="E53" t="inlineStr">
        <is>
          <t>Ventil V3</t>
        </is>
      </c>
      <c r="F53" t="n">
        <v>17</v>
      </c>
      <c r="G53" t="inlineStr">
        <is>
          <t>1161,44 EUR</t>
        </is>
      </c>
    </row>
    <row r="54">
      <c r="B54" t="n">
        <v>50048</v>
      </c>
      <c r="C54" t="inlineStr">
        <is>
          <t>01.09.2025</t>
        </is>
      </c>
      <c r="D54" t="inlineStr">
        <is>
          <t>1003 - Tirol Technik KG</t>
        </is>
      </c>
      <c r="E54" t="inlineStr">
        <is>
          <t>Sensor B2</t>
        </is>
      </c>
      <c r="F54" t="n">
        <v>1</v>
      </c>
      <c r="G54" t="inlineStr">
        <is>
          <t>284,3 EUR</t>
        </is>
      </c>
    </row>
    <row r="55">
      <c r="B55" t="n">
        <v>50049</v>
      </c>
      <c r="C55" t="inlineStr">
        <is>
          <t>02.02.2025</t>
        </is>
      </c>
      <c r="D55" t="inlineStr">
        <is>
          <t>1003 - Tirol Technik KG</t>
        </is>
      </c>
      <c r="E55" t="inlineStr">
        <is>
          <t>Pumpe P9</t>
        </is>
      </c>
      <c r="F55" t="n">
        <v>19</v>
      </c>
      <c r="G55" t="inlineStr">
        <is>
          <t>1586,5 EUR</t>
        </is>
      </c>
    </row>
    <row r="56">
      <c r="B56" t="n">
        <v>50050</v>
      </c>
      <c r="C56" t="inlineStr">
        <is>
          <t>25.11.2025</t>
        </is>
      </c>
      <c r="D56" t="inlineStr">
        <is>
          <t>1008 - Steirische Stahl AG</t>
        </is>
      </c>
      <c r="E56" t="inlineStr">
        <is>
          <t>Sensor B2</t>
        </is>
      </c>
      <c r="F56" t="n">
        <v>14</v>
      </c>
      <c r="G56" t="inlineStr">
        <is>
          <t>2778,72 EUR</t>
        </is>
      </c>
    </row>
    <row r="57">
      <c r="B57" t="n">
        <v>50051</v>
      </c>
      <c r="C57" t="inlineStr">
        <is>
          <t>14.10.2025</t>
        </is>
      </c>
      <c r="D57" t="inlineStr">
        <is>
          <t>1004 - Wiener Werke GmbH</t>
        </is>
      </c>
      <c r="E57" t="inlineStr">
        <is>
          <t>Regler R5</t>
        </is>
      </c>
      <c r="F57" t="n">
        <v>35</v>
      </c>
      <c r="G57" t="inlineStr">
        <is>
          <t>11484,55 EUR</t>
        </is>
      </c>
    </row>
    <row r="58">
      <c r="B58" t="n">
        <v>50052</v>
      </c>
      <c r="C58" t="inlineStr">
        <is>
          <t>15.07.2025</t>
        </is>
      </c>
      <c r="D58" t="inlineStr">
        <is>
          <t>1002 - Donau Logistik AG</t>
        </is>
      </c>
      <c r="E58" t="inlineStr">
        <is>
          <t>Pumpe P9</t>
        </is>
      </c>
      <c r="F58" t="n">
        <v>34</v>
      </c>
      <c r="G58" t="inlineStr">
        <is>
          <t>9979,0 EUR</t>
        </is>
      </c>
    </row>
    <row r="59">
      <c r="B59" t="n">
        <v>50053</v>
      </c>
      <c r="C59" t="inlineStr">
        <is>
          <t>10.02.2025</t>
        </is>
      </c>
      <c r="D59" t="inlineStr">
        <is>
          <t>1007 - Seehafen Trading</t>
        </is>
      </c>
      <c r="E59" t="inlineStr">
        <is>
          <t>Motor M7</t>
        </is>
      </c>
      <c r="F59" t="n">
        <v>13</v>
      </c>
      <c r="G59" t="inlineStr">
        <is>
          <t>742,04 EUR</t>
        </is>
      </c>
    </row>
    <row r="60">
      <c r="B60" t="n">
        <v>50054</v>
      </c>
      <c r="C60" t="inlineStr">
        <is>
          <t>22.07.2025</t>
        </is>
      </c>
      <c r="D60" t="inlineStr">
        <is>
          <t>1006 - Bergland Bau AG</t>
        </is>
      </c>
      <c r="E60" t="inlineStr">
        <is>
          <t>Regler R5</t>
        </is>
      </c>
      <c r="F60" t="n">
        <v>27</v>
      </c>
      <c r="G60" t="inlineStr">
        <is>
          <t>3835,35 EUR</t>
        </is>
      </c>
    </row>
    <row r="61">
      <c r="B61" t="n">
        <v>50055</v>
      </c>
      <c r="C61" t="inlineStr">
        <is>
          <t>19.11.2025</t>
        </is>
      </c>
      <c r="D61" t="inlineStr">
        <is>
          <t>1002 - Donau Logistik AG</t>
        </is>
      </c>
      <c r="E61" t="inlineStr">
        <is>
          <t>Pumpe P9</t>
        </is>
      </c>
      <c r="F61" t="n">
        <v>10</v>
      </c>
      <c r="G61" t="inlineStr">
        <is>
          <t>3342,1 EUR</t>
        </is>
      </c>
    </row>
    <row r="62">
      <c r="B62" t="n">
        <v>50056</v>
      </c>
      <c r="C62" t="inlineStr">
        <is>
          <t>03.09.2025</t>
        </is>
      </c>
      <c r="D62" t="inlineStr">
        <is>
          <t>1008 - Steirische Stahl AG</t>
        </is>
      </c>
      <c r="E62" t="inlineStr">
        <is>
          <t>Motor M7</t>
        </is>
      </c>
      <c r="F62" t="n">
        <v>9</v>
      </c>
      <c r="G62" t="inlineStr">
        <is>
          <t>407,43 EUR</t>
        </is>
      </c>
    </row>
    <row r="63">
      <c r="B63" t="n">
        <v>50057</v>
      </c>
      <c r="C63" t="inlineStr">
        <is>
          <t>15.10.2025</t>
        </is>
      </c>
      <c r="D63" t="inlineStr">
        <is>
          <t>1005 - Süd Elektro OG</t>
        </is>
      </c>
      <c r="E63" t="inlineStr">
        <is>
          <t>Motor M7</t>
        </is>
      </c>
      <c r="F63" t="n">
        <v>22</v>
      </c>
      <c r="G63" t="inlineStr">
        <is>
          <t>2513,5 EUR</t>
        </is>
      </c>
    </row>
    <row r="64">
      <c r="B64" t="n">
        <v>50058</v>
      </c>
      <c r="C64" t="inlineStr">
        <is>
          <t>05.11.2025</t>
        </is>
      </c>
      <c r="D64" t="inlineStr">
        <is>
          <t>1003 - Tirol Technik KG</t>
        </is>
      </c>
      <c r="E64" t="inlineStr">
        <is>
          <t>Regler R5</t>
        </is>
      </c>
      <c r="F64" t="n">
        <v>20</v>
      </c>
      <c r="G64" t="inlineStr">
        <is>
          <t>3887,8 EUR</t>
        </is>
      </c>
    </row>
    <row r="65">
      <c r="B65" t="n">
        <v>50059</v>
      </c>
      <c r="C65" t="inlineStr">
        <is>
          <t>06.05.2025</t>
        </is>
      </c>
      <c r="D65" t="inlineStr">
        <is>
          <t>1002 - Donau Logistik AG</t>
        </is>
      </c>
      <c r="E65" t="inlineStr">
        <is>
          <t>Motor M7</t>
        </is>
      </c>
      <c r="F65" t="n">
        <v>13</v>
      </c>
      <c r="G65" t="inlineStr">
        <is>
          <t>3467,1 EUR</t>
        </is>
      </c>
    </row>
    <row r="66">
      <c r="B66" t="n">
        <v>50060</v>
      </c>
      <c r="C66" t="inlineStr">
        <is>
          <t>12.02.2025</t>
        </is>
      </c>
      <c r="D66" t="inlineStr">
        <is>
          <t>1008 - Steirische Stahl AG</t>
        </is>
      </c>
      <c r="E66" t="inlineStr">
        <is>
          <t>Motor M7</t>
        </is>
      </c>
      <c r="F66" t="n">
        <v>25</v>
      </c>
      <c r="G66" t="inlineStr">
        <is>
          <t>7402,75 EUR</t>
        </is>
      </c>
    </row>
    <row r="67">
      <c r="B67" t="n">
        <v>50061</v>
      </c>
      <c r="C67" t="inlineStr">
        <is>
          <t>13.11.2025</t>
        </is>
      </c>
      <c r="D67" t="inlineStr">
        <is>
          <t>1003 - Tirol Technik KG</t>
        </is>
      </c>
      <c r="E67" t="inlineStr">
        <is>
          <t>Sensor B2</t>
        </is>
      </c>
      <c r="F67" t="n">
        <v>22</v>
      </c>
      <c r="G67" t="inlineStr">
        <is>
          <t>5014,24 EUR</t>
        </is>
      </c>
    </row>
    <row r="68">
      <c r="B68" t="n">
        <v>50062</v>
      </c>
      <c r="C68" t="inlineStr">
        <is>
          <t>23.05.2025</t>
        </is>
      </c>
      <c r="D68" t="inlineStr">
        <is>
          <t>1006 - Bergland Bau AG</t>
        </is>
      </c>
      <c r="E68" t="inlineStr">
        <is>
          <t>Ventil V3</t>
        </is>
      </c>
      <c r="F68" t="n">
        <v>19</v>
      </c>
      <c r="G68" t="inlineStr">
        <is>
          <t>6414,21 EUR</t>
        </is>
      </c>
    </row>
    <row r="69">
      <c r="B69" t="n">
        <v>50063</v>
      </c>
      <c r="C69" t="inlineStr">
        <is>
          <t>11.08.2025</t>
        </is>
      </c>
      <c r="D69" t="inlineStr">
        <is>
          <t>1001 - Alpen Handel GmbH</t>
        </is>
      </c>
      <c r="E69" t="inlineStr">
        <is>
          <t>Sensor A1</t>
        </is>
      </c>
      <c r="F69" t="n">
        <v>34</v>
      </c>
      <c r="G69" t="inlineStr">
        <is>
          <t>11128,88 EUR</t>
        </is>
      </c>
    </row>
    <row r="70">
      <c r="B70" t="n">
        <v>50064</v>
      </c>
      <c r="C70" t="inlineStr">
        <is>
          <t>14.11.2025</t>
        </is>
      </c>
      <c r="D70" t="inlineStr">
        <is>
          <t>1004 - Wiener Werke GmbH</t>
        </is>
      </c>
      <c r="E70" t="inlineStr">
        <is>
          <t>Sensor B2</t>
        </is>
      </c>
      <c r="F70" t="n">
        <v>16</v>
      </c>
      <c r="G70" t="inlineStr">
        <is>
          <t>1767,68 EUR</t>
        </is>
      </c>
    </row>
    <row r="71">
      <c r="B71" t="n">
        <v>50065</v>
      </c>
      <c r="C71" t="inlineStr">
        <is>
          <t>16.04.2025</t>
        </is>
      </c>
      <c r="D71" t="inlineStr">
        <is>
          <t>1003 - Tirol Technik KG</t>
        </is>
      </c>
      <c r="E71" t="inlineStr">
        <is>
          <t>Ventil V3</t>
        </is>
      </c>
      <c r="F71" t="n">
        <v>28</v>
      </c>
      <c r="G71" t="inlineStr">
        <is>
          <t>5618,48 EUR</t>
        </is>
      </c>
    </row>
    <row r="72">
      <c r="B72" t="n">
        <v>50066</v>
      </c>
      <c r="C72" t="inlineStr">
        <is>
          <t>11.11.2025</t>
        </is>
      </c>
      <c r="D72" t="inlineStr">
        <is>
          <t>1007 - Seehafen Trading</t>
        </is>
      </c>
      <c r="E72" t="inlineStr">
        <is>
          <t>Sensor A1</t>
        </is>
      </c>
      <c r="F72" t="n">
        <v>7</v>
      </c>
      <c r="G72" t="inlineStr">
        <is>
          <t>643,79 EUR</t>
        </is>
      </c>
    </row>
    <row r="73">
      <c r="B73" t="n">
        <v>50067</v>
      </c>
      <c r="C73" t="inlineStr">
        <is>
          <t>16.09.2025</t>
        </is>
      </c>
      <c r="D73" t="inlineStr">
        <is>
          <t>1002 - Donau Logistik AG</t>
        </is>
      </c>
      <c r="E73" t="inlineStr">
        <is>
          <t>Sensor B2</t>
        </is>
      </c>
      <c r="F73" t="n">
        <v>15</v>
      </c>
      <c r="G73" t="inlineStr">
        <is>
          <t>3368,4 EUR</t>
        </is>
      </c>
    </row>
    <row r="74">
      <c r="B74" t="n">
        <v>50068</v>
      </c>
      <c r="C74" t="inlineStr">
        <is>
          <t>27.10.2025</t>
        </is>
      </c>
      <c r="D74" t="inlineStr">
        <is>
          <t>1003 - Tirol Technik KG</t>
        </is>
      </c>
      <c r="E74" t="inlineStr">
        <is>
          <t>Regler R5</t>
        </is>
      </c>
      <c r="F74" t="n">
        <v>14</v>
      </c>
      <c r="G74" t="inlineStr">
        <is>
          <t>4146,1 EUR</t>
        </is>
      </c>
    </row>
    <row r="75">
      <c r="B75" t="n">
        <v>50069</v>
      </c>
      <c r="C75" t="inlineStr">
        <is>
          <t>20.02.2025</t>
        </is>
      </c>
      <c r="D75" t="inlineStr">
        <is>
          <t>1002 - Donau Logistik AG</t>
        </is>
      </c>
      <c r="E75" t="inlineStr">
        <is>
          <t>Ventil V3</t>
        </is>
      </c>
      <c r="F75" t="n">
        <v>23</v>
      </c>
      <c r="G75" t="inlineStr">
        <is>
          <t>3016,45 EUR</t>
        </is>
      </c>
    </row>
    <row r="76">
      <c r="B76" t="n">
        <v>50070</v>
      </c>
      <c r="C76" t="inlineStr">
        <is>
          <t>18.03.2025</t>
        </is>
      </c>
      <c r="D76" t="inlineStr">
        <is>
          <t>1007 - Seehafen Trading</t>
        </is>
      </c>
      <c r="E76" t="inlineStr">
        <is>
          <t>Regler R5</t>
        </is>
      </c>
      <c r="F76" t="n">
        <v>5</v>
      </c>
      <c r="G76" t="inlineStr">
        <is>
          <t>1185,0 EUR</t>
        </is>
      </c>
    </row>
    <row r="77">
      <c r="B77" t="n">
        <v>50071</v>
      </c>
      <c r="C77" t="inlineStr">
        <is>
          <t>09.03.2025</t>
        </is>
      </c>
      <c r="D77" t="inlineStr">
        <is>
          <t>1001 - Alpen Handel GmbH</t>
        </is>
      </c>
      <c r="E77" t="inlineStr">
        <is>
          <t>Motor M7</t>
        </is>
      </c>
      <c r="F77" t="n">
        <v>34</v>
      </c>
      <c r="G77" t="inlineStr">
        <is>
          <t>4229,6 EUR</t>
        </is>
      </c>
    </row>
    <row r="78">
      <c r="B78" t="n">
        <v>50072</v>
      </c>
      <c r="C78" t="inlineStr">
        <is>
          <t>12.09.2025</t>
        </is>
      </c>
      <c r="D78" t="inlineStr">
        <is>
          <t>1004 - Wiener Werke GmbH</t>
        </is>
      </c>
      <c r="E78" t="inlineStr">
        <is>
          <t>Regler R5</t>
        </is>
      </c>
      <c r="F78" t="n">
        <v>3</v>
      </c>
      <c r="G78" t="inlineStr">
        <is>
          <t>904,95 EUR</t>
        </is>
      </c>
    </row>
    <row r="79">
      <c r="B79" t="n">
        <v>50073</v>
      </c>
      <c r="C79" t="inlineStr">
        <is>
          <t>25.07.2025</t>
        </is>
      </c>
      <c r="D79" t="inlineStr">
        <is>
          <t>1001 - Alpen Handel GmbH</t>
        </is>
      </c>
      <c r="E79" t="inlineStr">
        <is>
          <t>Regler R5</t>
        </is>
      </c>
      <c r="F79" t="n">
        <v>8</v>
      </c>
      <c r="G79" t="inlineStr">
        <is>
          <t>2446,32 EUR</t>
        </is>
      </c>
    </row>
    <row r="80">
      <c r="B80" t="n">
        <v>50074</v>
      </c>
      <c r="C80" t="inlineStr">
        <is>
          <t>19.06.2025</t>
        </is>
      </c>
      <c r="D80" t="inlineStr">
        <is>
          <t>1004 - Wiener Werke GmbH</t>
        </is>
      </c>
      <c r="E80" t="inlineStr">
        <is>
          <t>Sensor A1</t>
        </is>
      </c>
      <c r="F80" t="n">
        <v>21</v>
      </c>
      <c r="G80" t="inlineStr">
        <is>
          <t>6280,47 EUR</t>
        </is>
      </c>
    </row>
    <row r="81">
      <c r="B81" t="n">
        <v>50075</v>
      </c>
      <c r="C81" t="inlineStr">
        <is>
          <t>03.01.2025</t>
        </is>
      </c>
      <c r="D81" t="inlineStr">
        <is>
          <t>1003 - Tirol Technik KG</t>
        </is>
      </c>
      <c r="E81" t="inlineStr">
        <is>
          <t>Pumpe P9</t>
        </is>
      </c>
      <c r="F81" t="n">
        <v>13</v>
      </c>
      <c r="G81" t="inlineStr">
        <is>
          <t>3782,61 EUR</t>
        </is>
      </c>
    </row>
    <row r="82">
      <c r="B82" t="n">
        <v>50076</v>
      </c>
      <c r="C82" t="inlineStr">
        <is>
          <t>21.09.2025</t>
        </is>
      </c>
      <c r="D82" t="inlineStr">
        <is>
          <t>1007 - Seehafen Trading</t>
        </is>
      </c>
      <c r="E82" t="inlineStr">
        <is>
          <t>Sensor B2</t>
        </is>
      </c>
      <c r="F82" t="n">
        <v>14</v>
      </c>
      <c r="G82" t="inlineStr">
        <is>
          <t>4303,32 EUR</t>
        </is>
      </c>
    </row>
    <row r="83">
      <c r="B83" t="n">
        <v>50077</v>
      </c>
      <c r="C83" t="inlineStr">
        <is>
          <t>10.07.2025</t>
        </is>
      </c>
      <c r="D83" t="inlineStr">
        <is>
          <t>1002 - Donau Logistik AG</t>
        </is>
      </c>
      <c r="E83" t="inlineStr">
        <is>
          <t>Pumpe P9</t>
        </is>
      </c>
      <c r="F83" t="n">
        <v>16</v>
      </c>
      <c r="G83" t="inlineStr">
        <is>
          <t>2138,24 EUR</t>
        </is>
      </c>
    </row>
    <row r="84">
      <c r="B84" t="n">
        <v>50078</v>
      </c>
      <c r="C84" t="inlineStr">
        <is>
          <t>17.01.2025</t>
        </is>
      </c>
      <c r="D84" t="inlineStr">
        <is>
          <t>1006 - Bergland Bau AG</t>
        </is>
      </c>
      <c r="E84" t="inlineStr">
        <is>
          <t>Ventil V3</t>
        </is>
      </c>
      <c r="F84" t="n">
        <v>13</v>
      </c>
      <c r="G84" t="inlineStr">
        <is>
          <t>3697,72 EUR</t>
        </is>
      </c>
    </row>
    <row r="85">
      <c r="B85" t="n">
        <v>50079</v>
      </c>
      <c r="C85" t="inlineStr">
        <is>
          <t>21.11.2025</t>
        </is>
      </c>
      <c r="D85" t="inlineStr">
        <is>
          <t>1005 - Süd Elektro OG</t>
        </is>
      </c>
      <c r="E85" t="inlineStr">
        <is>
          <t>Sensor B2</t>
        </is>
      </c>
      <c r="F85" t="n">
        <v>10</v>
      </c>
      <c r="G85" t="inlineStr">
        <is>
          <t>901,6 EUR</t>
        </is>
      </c>
    </row>
    <row r="86">
      <c r="B86" t="n">
        <v>50080</v>
      </c>
      <c r="C86" t="inlineStr">
        <is>
          <t>13.11.2025</t>
        </is>
      </c>
      <c r="D86" t="inlineStr">
        <is>
          <t>1007 - Seehafen Trading</t>
        </is>
      </c>
      <c r="E86" t="inlineStr">
        <is>
          <t>Sensor B2</t>
        </is>
      </c>
      <c r="F86" t="n">
        <v>37</v>
      </c>
      <c r="G86" t="inlineStr">
        <is>
          <t>7602,39 EUR</t>
        </is>
      </c>
    </row>
    <row r="87">
      <c r="B87" t="n">
        <v>50081</v>
      </c>
      <c r="C87" t="inlineStr">
        <is>
          <t>11.08.2025</t>
        </is>
      </c>
      <c r="D87" t="inlineStr">
        <is>
          <t>1007 - Seehafen Trading</t>
        </is>
      </c>
      <c r="E87" t="inlineStr">
        <is>
          <t>Ventil V3</t>
        </is>
      </c>
      <c r="F87" t="n">
        <v>33</v>
      </c>
      <c r="G87" t="inlineStr">
        <is>
          <t>2881,56 EUR</t>
        </is>
      </c>
    </row>
    <row r="88">
      <c r="B88" t="n">
        <v>50082</v>
      </c>
      <c r="C88" t="inlineStr">
        <is>
          <t>25.10.2025</t>
        </is>
      </c>
      <c r="D88" t="inlineStr">
        <is>
          <t>1003 - Tirol Technik KG</t>
        </is>
      </c>
      <c r="E88" t="inlineStr">
        <is>
          <t>Pumpe P9</t>
        </is>
      </c>
      <c r="F88" t="n">
        <v>24</v>
      </c>
      <c r="G88" t="inlineStr">
        <is>
          <t>978,96 EUR</t>
        </is>
      </c>
    </row>
    <row r="89">
      <c r="B89" t="n">
        <v>50083</v>
      </c>
      <c r="C89" t="inlineStr">
        <is>
          <t>17.10.2025</t>
        </is>
      </c>
      <c r="D89" t="inlineStr">
        <is>
          <t>1003 - Tirol Technik KG</t>
        </is>
      </c>
      <c r="E89" t="inlineStr">
        <is>
          <t>Sensor B2</t>
        </is>
      </c>
      <c r="F89" t="n">
        <v>2</v>
      </c>
      <c r="G89" t="inlineStr">
        <is>
          <t>184,98 EUR</t>
        </is>
      </c>
    </row>
    <row r="90">
      <c r="B90" t="n">
        <v>50084</v>
      </c>
      <c r="C90" t="inlineStr">
        <is>
          <t>28.02.2025</t>
        </is>
      </c>
      <c r="D90" t="inlineStr">
        <is>
          <t>1007 - Seehafen Trading</t>
        </is>
      </c>
      <c r="E90" t="inlineStr">
        <is>
          <t>Sensor B2</t>
        </is>
      </c>
      <c r="F90" t="n">
        <v>5</v>
      </c>
      <c r="G90" t="inlineStr">
        <is>
          <t>1629,15 EUR</t>
        </is>
      </c>
    </row>
    <row r="91">
      <c r="B91" t="n">
        <v>50085</v>
      </c>
      <c r="C91" t="inlineStr">
        <is>
          <t>01.08.2025</t>
        </is>
      </c>
      <c r="D91" t="inlineStr">
        <is>
          <t>1004 - Wiener Werke GmbH</t>
        </is>
      </c>
      <c r="E91" t="inlineStr">
        <is>
          <t>Ventil V3</t>
        </is>
      </c>
      <c r="F91" t="n">
        <v>37</v>
      </c>
      <c r="G91" t="inlineStr">
        <is>
          <t>7413,69 EUR</t>
        </is>
      </c>
    </row>
    <row r="92">
      <c r="B92" t="n">
        <v>50086</v>
      </c>
      <c r="C92" t="inlineStr">
        <is>
          <t>21.07.2025</t>
        </is>
      </c>
      <c r="D92" t="inlineStr">
        <is>
          <t>1006 - Bergland Bau AG</t>
        </is>
      </c>
      <c r="E92" t="inlineStr">
        <is>
          <t>Sensor B2</t>
        </is>
      </c>
      <c r="F92" t="n">
        <v>36</v>
      </c>
      <c r="G92" t="inlineStr">
        <is>
          <t>8856,36 EUR</t>
        </is>
      </c>
    </row>
    <row r="93">
      <c r="B93" t="n">
        <v>50087</v>
      </c>
      <c r="C93" t="inlineStr">
        <is>
          <t>06.04.2025</t>
        </is>
      </c>
      <c r="D93" t="inlineStr">
        <is>
          <t>1007 - Seehafen Trading</t>
        </is>
      </c>
      <c r="E93" t="inlineStr">
        <is>
          <t>Regler R5</t>
        </is>
      </c>
      <c r="F93" t="n">
        <v>19</v>
      </c>
      <c r="G93" t="inlineStr">
        <is>
          <t>6551,58 EUR</t>
        </is>
      </c>
    </row>
    <row r="94">
      <c r="B94" t="n">
        <v>50088</v>
      </c>
      <c r="C94" t="inlineStr">
        <is>
          <t>15.10.2025</t>
        </is>
      </c>
      <c r="D94" t="inlineStr">
        <is>
          <t>1005 - Süd Elektro OG</t>
        </is>
      </c>
      <c r="E94" t="inlineStr">
        <is>
          <t>Pumpe P9</t>
        </is>
      </c>
      <c r="F94" t="n">
        <v>14</v>
      </c>
      <c r="G94" t="inlineStr">
        <is>
          <t>1368,22 EUR</t>
        </is>
      </c>
    </row>
    <row r="95">
      <c r="B95" t="n">
        <v>50089</v>
      </c>
      <c r="C95" t="inlineStr">
        <is>
          <t>23.08.2025</t>
        </is>
      </c>
      <c r="D95" t="inlineStr">
        <is>
          <t>1001 - Alpen Handel GmbH</t>
        </is>
      </c>
      <c r="E95" t="inlineStr">
        <is>
          <t>Sensor A1</t>
        </is>
      </c>
      <c r="F95" t="n">
        <v>33</v>
      </c>
      <c r="G95" t="inlineStr">
        <is>
          <t>4298,91 EUR</t>
        </is>
      </c>
    </row>
    <row r="96">
      <c r="B96" t="n">
        <v>50090</v>
      </c>
      <c r="C96" t="inlineStr">
        <is>
          <t>18.08.2025</t>
        </is>
      </c>
      <c r="D96" t="inlineStr">
        <is>
          <t>1003 - Tirol Technik KG</t>
        </is>
      </c>
      <c r="E96" t="inlineStr">
        <is>
          <t>Ventil V3</t>
        </is>
      </c>
      <c r="F96" t="n">
        <v>1</v>
      </c>
      <c r="G96" t="inlineStr">
        <is>
          <t>344,38 EUR</t>
        </is>
      </c>
    </row>
    <row r="97">
      <c r="B97" t="n">
        <v>50091</v>
      </c>
      <c r="C97" t="inlineStr">
        <is>
          <t>11.11.2025</t>
        </is>
      </c>
      <c r="D97" t="inlineStr">
        <is>
          <t>1003 - Tirol Technik KG</t>
        </is>
      </c>
      <c r="E97" t="inlineStr">
        <is>
          <t>Ventil V3</t>
        </is>
      </c>
      <c r="F97" t="n">
        <v>31</v>
      </c>
      <c r="G97" t="inlineStr">
        <is>
          <t>9876,6 EUR</t>
        </is>
      </c>
    </row>
    <row r="98">
      <c r="B98" t="n">
        <v>50092</v>
      </c>
      <c r="C98" t="inlineStr">
        <is>
          <t>18.11.2025</t>
        </is>
      </c>
      <c r="D98" t="inlineStr">
        <is>
          <t>1003 - Tirol Technik KG</t>
        </is>
      </c>
      <c r="E98" t="inlineStr">
        <is>
          <t>Pumpe P9</t>
        </is>
      </c>
      <c r="F98" t="n">
        <v>10</v>
      </c>
      <c r="G98" t="inlineStr">
        <is>
          <t>2792,1 EUR</t>
        </is>
      </c>
    </row>
    <row r="99">
      <c r="B99" t="n">
        <v>50093</v>
      </c>
      <c r="C99" t="inlineStr">
        <is>
          <t>19.10.2025</t>
        </is>
      </c>
      <c r="D99" t="inlineStr">
        <is>
          <t>1008 - Steirische Stahl AG</t>
        </is>
      </c>
      <c r="E99" t="inlineStr">
        <is>
          <t>Regler R5</t>
        </is>
      </c>
      <c r="F99" t="n">
        <v>18</v>
      </c>
      <c r="G99" t="inlineStr">
        <is>
          <t>786,6 EUR</t>
        </is>
      </c>
    </row>
    <row r="100">
      <c r="B100" t="n">
        <v>50094</v>
      </c>
      <c r="C100" t="inlineStr">
        <is>
          <t>21.01.2025</t>
        </is>
      </c>
      <c r="D100" t="inlineStr">
        <is>
          <t>1007 - Seehafen Trading</t>
        </is>
      </c>
      <c r="E100" t="inlineStr">
        <is>
          <t>Sensor B2</t>
        </is>
      </c>
      <c r="F100" t="n">
        <v>22</v>
      </c>
      <c r="G100" t="inlineStr">
        <is>
          <t>6350,52 EUR</t>
        </is>
      </c>
    </row>
    <row r="101">
      <c r="B101" t="n">
        <v>50095</v>
      </c>
      <c r="C101" t="inlineStr">
        <is>
          <t>04.01.2025</t>
        </is>
      </c>
      <c r="D101" t="inlineStr">
        <is>
          <t>1003 - Tirol Technik KG</t>
        </is>
      </c>
      <c r="E101" t="inlineStr">
        <is>
          <t>Sensor B2</t>
        </is>
      </c>
      <c r="F101" t="n">
        <v>1</v>
      </c>
      <c r="G101" t="inlineStr">
        <is>
          <t>41,76 EUR</t>
        </is>
      </c>
    </row>
    <row r="102">
      <c r="B102" t="n">
        <v>50096</v>
      </c>
      <c r="C102" t="inlineStr">
        <is>
          <t>19.10.2025</t>
        </is>
      </c>
      <c r="D102" t="inlineStr">
        <is>
          <t>1007 - Seehafen Trading</t>
        </is>
      </c>
      <c r="E102" t="inlineStr">
        <is>
          <t>Ventil V3</t>
        </is>
      </c>
      <c r="F102" t="n">
        <v>13</v>
      </c>
      <c r="G102" t="inlineStr">
        <is>
          <t>3443,31 EUR</t>
        </is>
      </c>
    </row>
    <row r="103">
      <c r="B103" t="n">
        <v>50097</v>
      </c>
      <c r="C103" t="inlineStr">
        <is>
          <t>27.05.2025</t>
        </is>
      </c>
      <c r="D103" t="inlineStr">
        <is>
          <t>1006 - Bergland Bau AG</t>
        </is>
      </c>
      <c r="E103" t="inlineStr">
        <is>
          <t>Ventil V3</t>
        </is>
      </c>
      <c r="F103" t="n">
        <v>33</v>
      </c>
      <c r="G103" t="inlineStr">
        <is>
          <t>9231,09 EUR</t>
        </is>
      </c>
    </row>
    <row r="104">
      <c r="B104" t="n">
        <v>50098</v>
      </c>
      <c r="C104" t="inlineStr">
        <is>
          <t>08.06.2025</t>
        </is>
      </c>
      <c r="D104" t="inlineStr">
        <is>
          <t>1004 - Wiener Werke GmbH</t>
        </is>
      </c>
      <c r="E104" t="inlineStr">
        <is>
          <t>Ventil V3</t>
        </is>
      </c>
      <c r="F104" t="n">
        <v>30</v>
      </c>
      <c r="G104" t="inlineStr">
        <is>
          <t>1656,6 EUR</t>
        </is>
      </c>
    </row>
    <row r="105">
      <c r="B105" t="n">
        <v>50099</v>
      </c>
      <c r="C105" t="inlineStr">
        <is>
          <t>08.06.2025</t>
        </is>
      </c>
      <c r="D105" t="inlineStr">
        <is>
          <t>1002 - Donau Logistik AG</t>
        </is>
      </c>
      <c r="E105" t="inlineStr">
        <is>
          <t>Ventil V3</t>
        </is>
      </c>
      <c r="F105" t="n">
        <v>9</v>
      </c>
      <c r="G105" t="inlineStr">
        <is>
          <t>2497,23 EUR</t>
        </is>
      </c>
    </row>
    <row r="106">
      <c r="B106" t="n">
        <v>50100</v>
      </c>
      <c r="C106" t="inlineStr">
        <is>
          <t>13.12.2025</t>
        </is>
      </c>
      <c r="D106" t="inlineStr">
        <is>
          <t>1004 - Wiener Werke GmbH</t>
        </is>
      </c>
      <c r="E106" t="inlineStr">
        <is>
          <t>Pumpe P9</t>
        </is>
      </c>
      <c r="F106" t="n">
        <v>34</v>
      </c>
      <c r="G106" t="inlineStr">
        <is>
          <t>9037,2 EUR</t>
        </is>
      </c>
    </row>
    <row r="107">
      <c r="B107" t="n">
        <v>50101</v>
      </c>
      <c r="C107" t="inlineStr">
        <is>
          <t>27.02.2025</t>
        </is>
      </c>
      <c r="D107" t="inlineStr">
        <is>
          <t>1003 - Tirol Technik KG</t>
        </is>
      </c>
      <c r="E107" t="inlineStr">
        <is>
          <t>Pumpe P9</t>
        </is>
      </c>
      <c r="F107" t="n">
        <v>17</v>
      </c>
      <c r="G107" t="inlineStr">
        <is>
          <t>1951,94 EUR</t>
        </is>
      </c>
    </row>
    <row r="108">
      <c r="B108" t="n">
        <v>50102</v>
      </c>
      <c r="C108" t="inlineStr">
        <is>
          <t>23.01.2025</t>
        </is>
      </c>
      <c r="D108" t="inlineStr">
        <is>
          <t>1003 - Tirol Technik KG</t>
        </is>
      </c>
      <c r="E108" t="inlineStr">
        <is>
          <t>Regler R5</t>
        </is>
      </c>
      <c r="F108" t="n">
        <v>37</v>
      </c>
      <c r="G108" t="inlineStr">
        <is>
          <t>3971,21 EUR</t>
        </is>
      </c>
    </row>
    <row r="109">
      <c r="B109" t="n">
        <v>50103</v>
      </c>
      <c r="C109" t="inlineStr">
        <is>
          <t>21.09.2025</t>
        </is>
      </c>
      <c r="D109" t="inlineStr">
        <is>
          <t>1006 - Bergland Bau AG</t>
        </is>
      </c>
      <c r="E109" t="inlineStr">
        <is>
          <t>Pumpe P9</t>
        </is>
      </c>
      <c r="F109" t="n">
        <v>12</v>
      </c>
      <c r="G109" t="inlineStr">
        <is>
          <t>3595,2 EUR</t>
        </is>
      </c>
    </row>
    <row r="110">
      <c r="B110" t="n">
        <v>50104</v>
      </c>
      <c r="C110" t="inlineStr">
        <is>
          <t>02.08.2025</t>
        </is>
      </c>
      <c r="D110" t="inlineStr">
        <is>
          <t>1006 - Bergland Bau AG</t>
        </is>
      </c>
      <c r="E110" t="inlineStr">
        <is>
          <t>Sensor A1</t>
        </is>
      </c>
      <c r="F110" t="n">
        <v>29</v>
      </c>
      <c r="G110" t="inlineStr">
        <is>
          <t>1128,1 EUR</t>
        </is>
      </c>
    </row>
    <row r="111">
      <c r="B111" t="n">
        <v>50105</v>
      </c>
      <c r="C111" t="inlineStr">
        <is>
          <t>26.02.2025</t>
        </is>
      </c>
      <c r="D111" t="inlineStr">
        <is>
          <t>1005 - Süd Elektro OG</t>
        </is>
      </c>
      <c r="E111" t="inlineStr">
        <is>
          <t>Pumpe P9</t>
        </is>
      </c>
      <c r="F111" t="n">
        <v>4</v>
      </c>
      <c r="G111" t="inlineStr">
        <is>
          <t>721,56 EUR</t>
        </is>
      </c>
    </row>
    <row r="112">
      <c r="B112" t="n">
        <v>50106</v>
      </c>
      <c r="C112" t="inlineStr">
        <is>
          <t>10.03.2025</t>
        </is>
      </c>
      <c r="D112" t="inlineStr">
        <is>
          <t>1007 - Seehafen Trading</t>
        </is>
      </c>
      <c r="E112" t="inlineStr">
        <is>
          <t>Ventil V3</t>
        </is>
      </c>
      <c r="F112" t="n">
        <v>17</v>
      </c>
      <c r="G112" t="inlineStr">
        <is>
          <t>2829,65 EUR</t>
        </is>
      </c>
    </row>
    <row r="113">
      <c r="B113" t="n">
        <v>50107</v>
      </c>
      <c r="C113" t="inlineStr">
        <is>
          <t>28.12.2025</t>
        </is>
      </c>
      <c r="D113" t="inlineStr">
        <is>
          <t>1003 - Tirol Technik KG</t>
        </is>
      </c>
      <c r="E113" t="inlineStr">
        <is>
          <t>Motor M7</t>
        </is>
      </c>
      <c r="F113" t="n">
        <v>7</v>
      </c>
      <c r="G113" t="inlineStr">
        <is>
          <t>1059,17 EUR</t>
        </is>
      </c>
    </row>
    <row r="114">
      <c r="B114" t="n">
        <v>50108</v>
      </c>
      <c r="C114" t="inlineStr">
        <is>
          <t>02.07.2025</t>
        </is>
      </c>
      <c r="D114" t="inlineStr">
        <is>
          <t>1006 - Bergland Bau AG</t>
        </is>
      </c>
      <c r="E114" t="inlineStr">
        <is>
          <t>Pumpe P9</t>
        </is>
      </c>
      <c r="F114" t="n">
        <v>19</v>
      </c>
      <c r="G114" t="inlineStr">
        <is>
          <t>1127,46 EUR</t>
        </is>
      </c>
    </row>
    <row r="115">
      <c r="B115" t="n">
        <v>50109</v>
      </c>
      <c r="C115" t="inlineStr">
        <is>
          <t>24.02.2025</t>
        </is>
      </c>
      <c r="D115" t="inlineStr">
        <is>
          <t>1007 - Seehafen Trading</t>
        </is>
      </c>
      <c r="E115" t="inlineStr">
        <is>
          <t>Sensor A1</t>
        </is>
      </c>
      <c r="F115" t="n">
        <v>2</v>
      </c>
      <c r="G115" t="inlineStr">
        <is>
          <t>200,26 EUR</t>
        </is>
      </c>
    </row>
    <row r="116">
      <c r="B116" t="n">
        <v>50110</v>
      </c>
      <c r="C116" t="inlineStr">
        <is>
          <t>21.09.2025</t>
        </is>
      </c>
      <c r="D116" t="inlineStr">
        <is>
          <t>1002 - Donau Logistik AG</t>
        </is>
      </c>
      <c r="E116" t="inlineStr">
        <is>
          <t>Sensor B2</t>
        </is>
      </c>
      <c r="F116" t="n">
        <v>23</v>
      </c>
      <c r="G116" t="inlineStr">
        <is>
          <t>6735,55 EUR</t>
        </is>
      </c>
    </row>
    <row r="117">
      <c r="B117" t="n">
        <v>50111</v>
      </c>
      <c r="C117" t="inlineStr">
        <is>
          <t>01.11.2025</t>
        </is>
      </c>
      <c r="D117" t="inlineStr">
        <is>
          <t>1007 - Seehafen Trading</t>
        </is>
      </c>
      <c r="E117" t="inlineStr">
        <is>
          <t>Ventil V3</t>
        </is>
      </c>
      <c r="F117" t="n">
        <v>5</v>
      </c>
      <c r="G117" t="inlineStr">
        <is>
          <t>882,65 EUR</t>
        </is>
      </c>
    </row>
    <row r="118">
      <c r="B118" t="n">
        <v>50112</v>
      </c>
      <c r="C118" t="inlineStr">
        <is>
          <t>13.06.2025</t>
        </is>
      </c>
      <c r="D118" t="inlineStr">
        <is>
          <t>1007 - Seehafen Trading</t>
        </is>
      </c>
      <c r="E118" t="inlineStr">
        <is>
          <t>Pumpe P9</t>
        </is>
      </c>
      <c r="F118" t="n">
        <v>13</v>
      </c>
      <c r="G118" t="inlineStr">
        <is>
          <t>4045,21 EUR</t>
        </is>
      </c>
    </row>
    <row r="119">
      <c r="B119" t="n">
        <v>50113</v>
      </c>
      <c r="C119" t="inlineStr">
        <is>
          <t>09.07.2025</t>
        </is>
      </c>
      <c r="D119" t="inlineStr">
        <is>
          <t>1008 - Steirische Stahl AG</t>
        </is>
      </c>
      <c r="E119" t="inlineStr">
        <is>
          <t>Ventil V3</t>
        </is>
      </c>
      <c r="F119" t="n">
        <v>35</v>
      </c>
      <c r="G119" t="inlineStr">
        <is>
          <t>6601,35 EUR</t>
        </is>
      </c>
    </row>
    <row r="120">
      <c r="B120" t="n">
        <v>50114</v>
      </c>
      <c r="C120" t="inlineStr">
        <is>
          <t>21.12.2025</t>
        </is>
      </c>
      <c r="D120" t="inlineStr">
        <is>
          <t>1007 - Seehafen Trading</t>
        </is>
      </c>
      <c r="E120" t="inlineStr">
        <is>
          <t>Regler R5</t>
        </is>
      </c>
      <c r="F120" t="n">
        <v>23</v>
      </c>
      <c r="G120" t="inlineStr">
        <is>
          <t>6438,39 EUR</t>
        </is>
      </c>
    </row>
    <row r="121">
      <c r="B121" t="n">
        <v>50115</v>
      </c>
      <c r="C121" t="inlineStr">
        <is>
          <t>16.12.2025</t>
        </is>
      </c>
      <c r="D121" t="inlineStr">
        <is>
          <t>1004 - Wiener Werke GmbH</t>
        </is>
      </c>
      <c r="E121" t="inlineStr">
        <is>
          <t>Sensor B2</t>
        </is>
      </c>
      <c r="F121" t="n">
        <v>11</v>
      </c>
      <c r="G121" t="inlineStr">
        <is>
          <t>3084,07 EUR</t>
        </is>
      </c>
    </row>
    <row r="122">
      <c r="B122" t="n">
        <v>50116</v>
      </c>
      <c r="C122" t="inlineStr">
        <is>
          <t>26.10.2025</t>
        </is>
      </c>
      <c r="D122" t="inlineStr">
        <is>
          <t>1007 - Seehafen Trading</t>
        </is>
      </c>
      <c r="E122" t="inlineStr">
        <is>
          <t>Ventil V3</t>
        </is>
      </c>
      <c r="F122" t="n">
        <v>22</v>
      </c>
      <c r="G122" t="inlineStr">
        <is>
          <t>7196,2 EUR</t>
        </is>
      </c>
    </row>
    <row r="123">
      <c r="B123" t="n">
        <v>50117</v>
      </c>
      <c r="C123" t="inlineStr">
        <is>
          <t>04.02.2025</t>
        </is>
      </c>
      <c r="D123" t="inlineStr">
        <is>
          <t>1002 - Donau Logistik AG</t>
        </is>
      </c>
      <c r="E123" t="inlineStr">
        <is>
          <t>Ventil V3</t>
        </is>
      </c>
      <c r="F123" t="n">
        <v>27</v>
      </c>
      <c r="G123" t="inlineStr">
        <is>
          <t>8095,14 EUR</t>
        </is>
      </c>
    </row>
    <row r="124">
      <c r="B124" t="n">
        <v>50118</v>
      </c>
      <c r="C124" t="inlineStr">
        <is>
          <t>05.01.2025</t>
        </is>
      </c>
      <c r="D124" t="inlineStr">
        <is>
          <t>1004 - Wiener Werke GmbH</t>
        </is>
      </c>
      <c r="E124" t="inlineStr">
        <is>
          <t>Regler R5</t>
        </is>
      </c>
      <c r="F124" t="n">
        <v>22</v>
      </c>
      <c r="G124" t="inlineStr">
        <is>
          <t>6140,2 EUR</t>
        </is>
      </c>
    </row>
    <row r="125">
      <c r="B125" t="n">
        <v>50119</v>
      </c>
      <c r="C125" t="inlineStr">
        <is>
          <t>19.05.2025</t>
        </is>
      </c>
      <c r="D125" t="inlineStr">
        <is>
          <t>1007 - Seehafen Trading</t>
        </is>
      </c>
      <c r="E125" t="inlineStr">
        <is>
          <t>Sensor B2</t>
        </is>
      </c>
      <c r="F125" t="n">
        <v>17</v>
      </c>
      <c r="G125" t="inlineStr">
        <is>
          <t>2818,09 EUR</t>
        </is>
      </c>
    </row>
    <row r="126">
      <c r="B126" t="n">
        <v>50120</v>
      </c>
      <c r="C126" t="inlineStr">
        <is>
          <t>22.08.2025</t>
        </is>
      </c>
      <c r="D126" t="inlineStr">
        <is>
          <t>1005 - Süd Elektro OG</t>
        </is>
      </c>
      <c r="E126" t="inlineStr">
        <is>
          <t>Motor M7</t>
        </is>
      </c>
      <c r="F126" t="n">
        <v>32</v>
      </c>
      <c r="G126" t="inlineStr">
        <is>
          <t>2353,6 EUR</t>
        </is>
      </c>
    </row>
    <row r="127">
      <c r="B127" t="n">
        <v>50121</v>
      </c>
      <c r="C127" t="inlineStr">
        <is>
          <t>11.04.2025</t>
        </is>
      </c>
      <c r="D127" t="inlineStr">
        <is>
          <t>1004 - Wiener Werke GmbH</t>
        </is>
      </c>
      <c r="E127" t="inlineStr">
        <is>
          <t>Sensor A1</t>
        </is>
      </c>
      <c r="F127" t="n">
        <v>22</v>
      </c>
      <c r="G127" t="inlineStr">
        <is>
          <t>5021,94 EUR</t>
        </is>
      </c>
    </row>
    <row r="128">
      <c r="B128" t="n">
        <v>50122</v>
      </c>
      <c r="C128" t="inlineStr">
        <is>
          <t>19.09.2025</t>
        </is>
      </c>
      <c r="D128" t="inlineStr">
        <is>
          <t>1001 - Alpen Handel GmbH</t>
        </is>
      </c>
      <c r="E128" t="inlineStr">
        <is>
          <t>Sensor A1</t>
        </is>
      </c>
      <c r="F128" t="n">
        <v>22</v>
      </c>
      <c r="G128" t="inlineStr">
        <is>
          <t>1358,94 EUR</t>
        </is>
      </c>
    </row>
    <row r="129">
      <c r="B129" t="n">
        <v>50123</v>
      </c>
      <c r="C129" t="inlineStr">
        <is>
          <t>09.10.2025</t>
        </is>
      </c>
      <c r="D129" t="inlineStr">
        <is>
          <t>1004 - Wiener Werke GmbH</t>
        </is>
      </c>
      <c r="E129" t="inlineStr">
        <is>
          <t>Sensor A1</t>
        </is>
      </c>
      <c r="F129" t="n">
        <v>33</v>
      </c>
      <c r="G129" t="inlineStr">
        <is>
          <t>4504,17 EUR</t>
        </is>
      </c>
    </row>
    <row r="130">
      <c r="B130" t="n">
        <v>50124</v>
      </c>
      <c r="C130" t="inlineStr">
        <is>
          <t>18.08.2025</t>
        </is>
      </c>
      <c r="D130" t="inlineStr">
        <is>
          <t>1006 - Bergland Bau AG</t>
        </is>
      </c>
      <c r="E130" t="inlineStr">
        <is>
          <t>Pumpe P9</t>
        </is>
      </c>
      <c r="F130" t="n">
        <v>22</v>
      </c>
      <c r="G130" t="inlineStr">
        <is>
          <t>6759,94 EUR</t>
        </is>
      </c>
    </row>
    <row r="131">
      <c r="B131" t="n">
        <v>50125</v>
      </c>
      <c r="C131" t="inlineStr">
        <is>
          <t>21.06.2025</t>
        </is>
      </c>
      <c r="D131" t="inlineStr">
        <is>
          <t>1005 - Süd Elektro OG</t>
        </is>
      </c>
      <c r="E131" t="inlineStr">
        <is>
          <t>Sensor B2</t>
        </is>
      </c>
      <c r="F131" t="n">
        <v>7</v>
      </c>
      <c r="G131" t="inlineStr">
        <is>
          <t>789,46 EUR</t>
        </is>
      </c>
    </row>
    <row r="132">
      <c r="B132" t="n">
        <v>50126</v>
      </c>
      <c r="C132" t="inlineStr">
        <is>
          <t>22.05.2025</t>
        </is>
      </c>
      <c r="D132" t="inlineStr">
        <is>
          <t>1002 - Donau Logistik AG</t>
        </is>
      </c>
      <c r="E132" t="inlineStr">
        <is>
          <t>Pumpe P9</t>
        </is>
      </c>
      <c r="F132" t="n">
        <v>1</v>
      </c>
      <c r="G132" t="inlineStr">
        <is>
          <t>44,66 EUR</t>
        </is>
      </c>
    </row>
    <row r="133">
      <c r="B133" t="n">
        <v>50127</v>
      </c>
      <c r="C133" t="inlineStr">
        <is>
          <t>07.08.2025</t>
        </is>
      </c>
      <c r="D133" t="inlineStr">
        <is>
          <t>1002 - Donau Logistik AG</t>
        </is>
      </c>
      <c r="E133" t="inlineStr">
        <is>
          <t>Regler R5</t>
        </is>
      </c>
      <c r="F133" t="n">
        <v>10</v>
      </c>
      <c r="G133" t="inlineStr">
        <is>
          <t>3117,9 EUR</t>
        </is>
      </c>
    </row>
    <row r="134">
      <c r="B134" t="n">
        <v>50128</v>
      </c>
      <c r="C134" t="inlineStr">
        <is>
          <t>21.10.2025</t>
        </is>
      </c>
      <c r="D134" t="inlineStr">
        <is>
          <t>1006 - Bergland Bau AG</t>
        </is>
      </c>
      <c r="E134" t="inlineStr">
        <is>
          <t>Sensor B2</t>
        </is>
      </c>
      <c r="F134" t="n">
        <v>4</v>
      </c>
      <c r="G134" t="inlineStr">
        <is>
          <t>271,04 EUR</t>
        </is>
      </c>
    </row>
    <row r="135">
      <c r="B135" t="n">
        <v>50129</v>
      </c>
      <c r="C135" t="inlineStr">
        <is>
          <t>01.01.2025</t>
        </is>
      </c>
      <c r="D135" t="inlineStr">
        <is>
          <t>1006 - Bergland Bau AG</t>
        </is>
      </c>
      <c r="E135" t="inlineStr">
        <is>
          <t>Ventil V3</t>
        </is>
      </c>
      <c r="F135" t="n">
        <v>5</v>
      </c>
      <c r="G135" t="inlineStr">
        <is>
          <t>1088,55 EUR</t>
        </is>
      </c>
    </row>
    <row r="136">
      <c r="B136" t="n">
        <v>50130</v>
      </c>
      <c r="C136" t="inlineStr">
        <is>
          <t>21.09.2025</t>
        </is>
      </c>
      <c r="D136" t="inlineStr">
        <is>
          <t>1003 - Tirol Technik KG</t>
        </is>
      </c>
      <c r="E136" t="inlineStr">
        <is>
          <t>Sensor B2</t>
        </is>
      </c>
      <c r="F136" t="n">
        <v>24</v>
      </c>
      <c r="G136" t="inlineStr">
        <is>
          <t>2931,12 EUR</t>
        </is>
      </c>
    </row>
    <row r="137">
      <c r="B137" t="n">
        <v>50131</v>
      </c>
      <c r="C137" t="inlineStr">
        <is>
          <t>24.11.2025</t>
        </is>
      </c>
      <c r="D137" t="inlineStr">
        <is>
          <t>1006 - Bergland Bau AG</t>
        </is>
      </c>
      <c r="E137" t="inlineStr">
        <is>
          <t>Regler R5</t>
        </is>
      </c>
      <c r="F137" t="n">
        <v>21</v>
      </c>
      <c r="G137" t="inlineStr">
        <is>
          <t>768,81 EUR</t>
        </is>
      </c>
    </row>
    <row r="138">
      <c r="B138" t="n">
        <v>50132</v>
      </c>
      <c r="C138" t="inlineStr">
        <is>
          <t>05.02.2025</t>
        </is>
      </c>
      <c r="D138" t="inlineStr">
        <is>
          <t>1007 - Seehafen Trading</t>
        </is>
      </c>
      <c r="E138" t="inlineStr">
        <is>
          <t>Pumpe P9</t>
        </is>
      </c>
      <c r="F138" t="n">
        <v>9</v>
      </c>
      <c r="G138" t="inlineStr">
        <is>
          <t>2073,78 EUR</t>
        </is>
      </c>
    </row>
    <row r="139">
      <c r="B139" t="n">
        <v>50133</v>
      </c>
      <c r="C139" t="inlineStr">
        <is>
          <t>02.07.2025</t>
        </is>
      </c>
      <c r="D139" t="inlineStr">
        <is>
          <t>1004 - Wiener Werke GmbH</t>
        </is>
      </c>
      <c r="E139" t="inlineStr">
        <is>
          <t>Motor M7</t>
        </is>
      </c>
      <c r="F139" t="n">
        <v>31</v>
      </c>
      <c r="G139" t="inlineStr">
        <is>
          <t>4333,8 EUR</t>
        </is>
      </c>
    </row>
    <row r="140">
      <c r="B140" t="n">
        <v>50134</v>
      </c>
      <c r="C140" t="inlineStr">
        <is>
          <t>27.03.2025</t>
        </is>
      </c>
      <c r="D140" t="inlineStr">
        <is>
          <t>1002 - Donau Logistik AG</t>
        </is>
      </c>
      <c r="E140" t="inlineStr">
        <is>
          <t>Sensor A1</t>
        </is>
      </c>
      <c r="F140" t="n">
        <v>39</v>
      </c>
      <c r="G140" t="inlineStr">
        <is>
          <t>8665,8 EUR</t>
        </is>
      </c>
    </row>
    <row r="141">
      <c r="B141" t="n">
        <v>50135</v>
      </c>
      <c r="C141" t="inlineStr">
        <is>
          <t>16.11.2025</t>
        </is>
      </c>
      <c r="D141" t="inlineStr">
        <is>
          <t>1004 - Wiener Werke GmbH</t>
        </is>
      </c>
      <c r="E141" t="inlineStr">
        <is>
          <t>Motor M7</t>
        </is>
      </c>
      <c r="F141" t="n">
        <v>9</v>
      </c>
      <c r="G141" t="inlineStr">
        <is>
          <t>330,12 EUR</t>
        </is>
      </c>
    </row>
    <row r="142">
      <c r="B142" t="n">
        <v>50136</v>
      </c>
      <c r="C142" t="inlineStr">
        <is>
          <t>27.08.2025</t>
        </is>
      </c>
      <c r="D142" t="inlineStr">
        <is>
          <t>1005 - Süd Elektro OG</t>
        </is>
      </c>
      <c r="E142" t="inlineStr">
        <is>
          <t>Sensor A1</t>
        </is>
      </c>
      <c r="F142" t="n">
        <v>39</v>
      </c>
      <c r="G142" t="inlineStr">
        <is>
          <t>2442,18 EUR</t>
        </is>
      </c>
    </row>
    <row r="143">
      <c r="B143" t="n">
        <v>50137</v>
      </c>
      <c r="C143" t="inlineStr">
        <is>
          <t>10.05.2025</t>
        </is>
      </c>
      <c r="D143" t="inlineStr">
        <is>
          <t>1006 - Bergland Bau AG</t>
        </is>
      </c>
      <c r="E143" t="inlineStr">
        <is>
          <t>Ventil V3</t>
        </is>
      </c>
      <c r="F143" t="n">
        <v>40</v>
      </c>
      <c r="G143" t="inlineStr">
        <is>
          <t>9326,8 EUR</t>
        </is>
      </c>
    </row>
    <row r="144">
      <c r="B144" t="n">
        <v>50138</v>
      </c>
      <c r="C144" t="inlineStr">
        <is>
          <t>06.02.2025</t>
        </is>
      </c>
      <c r="D144" t="inlineStr">
        <is>
          <t>1002 - Donau Logistik AG</t>
        </is>
      </c>
      <c r="E144" t="inlineStr">
        <is>
          <t>Sensor B2</t>
        </is>
      </c>
      <c r="F144" t="n">
        <v>37</v>
      </c>
      <c r="G144" t="inlineStr">
        <is>
          <t>4103,3 EUR</t>
        </is>
      </c>
    </row>
    <row r="145">
      <c r="B145" t="n">
        <v>50139</v>
      </c>
      <c r="C145" t="inlineStr">
        <is>
          <t>07.12.2025</t>
        </is>
      </c>
      <c r="D145" t="inlineStr">
        <is>
          <t>1005 - Süd Elektro OG</t>
        </is>
      </c>
      <c r="E145" t="inlineStr">
        <is>
          <t>Motor M7</t>
        </is>
      </c>
      <c r="F145" t="n">
        <v>13</v>
      </c>
      <c r="G145" t="inlineStr">
        <is>
          <t>3214,64 EUR</t>
        </is>
      </c>
    </row>
    <row r="146">
      <c r="B146" t="n">
        <v>50140</v>
      </c>
      <c r="C146" t="inlineStr">
        <is>
          <t>24.07.2025</t>
        </is>
      </c>
      <c r="D146" t="inlineStr">
        <is>
          <t>1003 - Tirol Technik KG</t>
        </is>
      </c>
      <c r="E146" t="inlineStr">
        <is>
          <t>Motor M7</t>
        </is>
      </c>
      <c r="F146" t="n">
        <v>10</v>
      </c>
      <c r="G146" t="inlineStr">
        <is>
          <t>2536,9 EUR</t>
        </is>
      </c>
    </row>
    <row r="147">
      <c r="B147" t="n">
        <v>50141</v>
      </c>
      <c r="C147" t="inlineStr">
        <is>
          <t>02.11.2025</t>
        </is>
      </c>
      <c r="D147" t="inlineStr">
        <is>
          <t>1004 - Wiener Werke GmbH</t>
        </is>
      </c>
      <c r="E147" t="inlineStr">
        <is>
          <t>Pumpe P9</t>
        </is>
      </c>
      <c r="F147" t="n">
        <v>1</v>
      </c>
      <c r="G147" t="inlineStr">
        <is>
          <t>290,77 EUR</t>
        </is>
      </c>
    </row>
    <row r="148">
      <c r="B148" t="n">
        <v>50142</v>
      </c>
      <c r="C148" t="inlineStr">
        <is>
          <t>20.06.2025</t>
        </is>
      </c>
      <c r="D148" t="inlineStr">
        <is>
          <t>1004 - Wiener Werke GmbH</t>
        </is>
      </c>
      <c r="E148" t="inlineStr">
        <is>
          <t>Sensor A1</t>
        </is>
      </c>
      <c r="F148" t="n">
        <v>32</v>
      </c>
      <c r="G148" t="inlineStr">
        <is>
          <t>740,8 EUR</t>
        </is>
      </c>
    </row>
    <row r="149">
      <c r="B149" t="n">
        <v>50143</v>
      </c>
      <c r="C149" t="inlineStr">
        <is>
          <t>10.06.2025</t>
        </is>
      </c>
      <c r="D149" t="inlineStr">
        <is>
          <t>1008 - Steirische Stahl AG</t>
        </is>
      </c>
      <c r="E149" t="inlineStr">
        <is>
          <t>Regler R5</t>
        </is>
      </c>
      <c r="F149" t="n">
        <v>13</v>
      </c>
      <c r="G149" t="inlineStr">
        <is>
          <t>886,47 EUR</t>
        </is>
      </c>
    </row>
    <row r="150">
      <c r="B150" t="n">
        <v>50144</v>
      </c>
      <c r="C150" t="inlineStr">
        <is>
          <t>28.10.2025</t>
        </is>
      </c>
      <c r="D150" t="inlineStr">
        <is>
          <t>1007 - Seehafen Trading</t>
        </is>
      </c>
      <c r="E150" t="inlineStr">
        <is>
          <t>Motor M7</t>
        </is>
      </c>
      <c r="F150" t="n">
        <v>19</v>
      </c>
      <c r="G150" t="inlineStr">
        <is>
          <t>2577,16 EUR</t>
        </is>
      </c>
    </row>
    <row r="151">
      <c r="B151" t="n">
        <v>50145</v>
      </c>
      <c r="C151" t="inlineStr">
        <is>
          <t>11.02.2025</t>
        </is>
      </c>
      <c r="D151" t="inlineStr">
        <is>
          <t>1008 - Steirische Stahl AG</t>
        </is>
      </c>
      <c r="E151" t="inlineStr">
        <is>
          <t>Motor M7</t>
        </is>
      </c>
      <c r="F151" t="n">
        <v>36</v>
      </c>
      <c r="G151" t="inlineStr">
        <is>
          <t>717,48 EUR</t>
        </is>
      </c>
    </row>
    <row r="152">
      <c r="B152" t="n">
        <v>50146</v>
      </c>
      <c r="C152" t="inlineStr">
        <is>
          <t>07.08.2025</t>
        </is>
      </c>
      <c r="D152" t="inlineStr">
        <is>
          <t>1001 - Alpen Handel GmbH</t>
        </is>
      </c>
      <c r="E152" t="inlineStr">
        <is>
          <t>Pumpe P9</t>
        </is>
      </c>
      <c r="F152" t="n">
        <v>31</v>
      </c>
      <c r="G152" t="inlineStr">
        <is>
          <t>7319,1 EUR</t>
        </is>
      </c>
    </row>
    <row r="153">
      <c r="B153" t="n">
        <v>50147</v>
      </c>
      <c r="C153" t="inlineStr">
        <is>
          <t>25.09.2025</t>
        </is>
      </c>
      <c r="D153" t="inlineStr">
        <is>
          <t>1001 - Alpen Handel GmbH</t>
        </is>
      </c>
      <c r="E153" t="inlineStr">
        <is>
          <t>Ventil V3</t>
        </is>
      </c>
      <c r="F153" t="n">
        <v>32</v>
      </c>
      <c r="G153" t="inlineStr">
        <is>
          <t>1664,0 EUR</t>
        </is>
      </c>
    </row>
    <row r="154">
      <c r="B154" t="n">
        <v>50148</v>
      </c>
      <c r="C154" t="inlineStr">
        <is>
          <t>12.07.2025</t>
        </is>
      </c>
      <c r="D154" t="inlineStr">
        <is>
          <t>1003 - Tirol Technik KG</t>
        </is>
      </c>
      <c r="E154" t="inlineStr">
        <is>
          <t>Regler R5</t>
        </is>
      </c>
      <c r="F154" t="n">
        <v>19</v>
      </c>
      <c r="G154" t="inlineStr">
        <is>
          <t>3650,85 EUR</t>
        </is>
      </c>
    </row>
    <row r="155">
      <c r="B155" t="n">
        <v>50149</v>
      </c>
      <c r="C155" t="inlineStr">
        <is>
          <t>23.08.2025</t>
        </is>
      </c>
      <c r="D155" t="inlineStr">
        <is>
          <t>1005 - Süd Elektro OG</t>
        </is>
      </c>
      <c r="E155" t="inlineStr">
        <is>
          <t>Sensor B2</t>
        </is>
      </c>
      <c r="F155" t="n">
        <v>21</v>
      </c>
      <c r="G155" t="inlineStr">
        <is>
          <t>2653,56 EUR</t>
        </is>
      </c>
    </row>
    <row r="156">
      <c r="B156" t="n">
        <v>50150</v>
      </c>
      <c r="C156" t="inlineStr">
        <is>
          <t>06.06.2025</t>
        </is>
      </c>
      <c r="D156" t="inlineStr">
        <is>
          <t>1007 - Seehafen Trading</t>
        </is>
      </c>
      <c r="E156" t="inlineStr">
        <is>
          <t>Regler R5</t>
        </is>
      </c>
      <c r="F156" t="n">
        <v>26</v>
      </c>
      <c r="G156" t="inlineStr">
        <is>
          <t>1361,62 EUR</t>
        </is>
      </c>
    </row>
    <row r="157">
      <c r="B157" t="n">
        <v>50151</v>
      </c>
      <c r="C157" t="inlineStr">
        <is>
          <t>19.07.2025</t>
        </is>
      </c>
      <c r="D157" t="inlineStr">
        <is>
          <t>1004 - Wiener Werke GmbH</t>
        </is>
      </c>
      <c r="E157" t="inlineStr">
        <is>
          <t>Sensor B2</t>
        </is>
      </c>
      <c r="F157" t="n">
        <v>11</v>
      </c>
      <c r="G157" t="inlineStr">
        <is>
          <t>2133,45 EUR</t>
        </is>
      </c>
    </row>
    <row r="158">
      <c r="B158" t="n">
        <v>50152</v>
      </c>
      <c r="C158" t="inlineStr">
        <is>
          <t>27.10.2025</t>
        </is>
      </c>
      <c r="D158" t="inlineStr">
        <is>
          <t>1005 - Süd Elektro OG</t>
        </is>
      </c>
      <c r="E158" t="inlineStr">
        <is>
          <t>Regler R5</t>
        </is>
      </c>
      <c r="F158" t="n">
        <v>27</v>
      </c>
      <c r="G158" t="inlineStr">
        <is>
          <t>3546,18 EUR</t>
        </is>
      </c>
    </row>
    <row r="159">
      <c r="B159" t="n">
        <v>50153</v>
      </c>
      <c r="C159" t="inlineStr">
        <is>
          <t>27.02.2025</t>
        </is>
      </c>
      <c r="D159" t="inlineStr">
        <is>
          <t>1008 - Steirische Stahl AG</t>
        </is>
      </c>
      <c r="E159" t="inlineStr">
        <is>
          <t>Motor M7</t>
        </is>
      </c>
      <c r="F159" t="n">
        <v>38</v>
      </c>
      <c r="G159" t="inlineStr">
        <is>
          <t>9668,72 EUR</t>
        </is>
      </c>
    </row>
    <row r="160">
      <c r="B160" t="n">
        <v>50154</v>
      </c>
      <c r="C160" t="inlineStr">
        <is>
          <t>14.08.2025</t>
        </is>
      </c>
      <c r="D160" t="inlineStr">
        <is>
          <t>1001 - Alpen Handel GmbH</t>
        </is>
      </c>
      <c r="E160" t="inlineStr">
        <is>
          <t>Sensor A1</t>
        </is>
      </c>
      <c r="F160" t="n">
        <v>8</v>
      </c>
      <c r="G160" t="inlineStr">
        <is>
          <t>604,24 EUR</t>
        </is>
      </c>
    </row>
    <row r="161">
      <c r="B161" t="n">
        <v>50155</v>
      </c>
      <c r="C161" t="inlineStr">
        <is>
          <t>09.03.2025</t>
        </is>
      </c>
      <c r="D161" t="inlineStr">
        <is>
          <t>1006 - Bergland Bau AG</t>
        </is>
      </c>
      <c r="E161" t="inlineStr">
        <is>
          <t>Sensor A1</t>
        </is>
      </c>
      <c r="F161" t="n">
        <v>6</v>
      </c>
      <c r="G161" t="inlineStr">
        <is>
          <t>1373,04 EUR</t>
        </is>
      </c>
    </row>
    <row r="162">
      <c r="B162" t="n">
        <v>50156</v>
      </c>
      <c r="C162" t="inlineStr">
        <is>
          <t>05.01.2025</t>
        </is>
      </c>
      <c r="D162" t="inlineStr">
        <is>
          <t>1001 - Alpen Handel GmbH</t>
        </is>
      </c>
      <c r="E162" t="inlineStr">
        <is>
          <t>Motor M7</t>
        </is>
      </c>
      <c r="F162" t="n">
        <v>40</v>
      </c>
      <c r="G162" t="inlineStr">
        <is>
          <t>12975,6 EUR</t>
        </is>
      </c>
    </row>
    <row r="163">
      <c r="B163" t="n">
        <v>50157</v>
      </c>
      <c r="C163" t="inlineStr">
        <is>
          <t>17.12.2025</t>
        </is>
      </c>
      <c r="D163" t="inlineStr">
        <is>
          <t>1004 - Wiener Werke GmbH</t>
        </is>
      </c>
      <c r="E163" t="inlineStr">
        <is>
          <t>Motor M7</t>
        </is>
      </c>
      <c r="F163" t="n">
        <v>23</v>
      </c>
      <c r="G163" t="inlineStr">
        <is>
          <t>4265,81 EUR</t>
        </is>
      </c>
    </row>
    <row r="164">
      <c r="B164" t="n">
        <v>50158</v>
      </c>
      <c r="C164" t="inlineStr">
        <is>
          <t>23.09.2025</t>
        </is>
      </c>
      <c r="D164" t="inlineStr">
        <is>
          <t>1002 - Donau Logistik AG</t>
        </is>
      </c>
      <c r="E164" t="inlineStr">
        <is>
          <t>Pumpe P9</t>
        </is>
      </c>
      <c r="F164" t="n">
        <v>34</v>
      </c>
      <c r="G164" t="inlineStr">
        <is>
          <t>3324,86 EUR</t>
        </is>
      </c>
    </row>
    <row r="165">
      <c r="B165" t="n">
        <v>50159</v>
      </c>
      <c r="C165" t="inlineStr">
        <is>
          <t>11.02.2025</t>
        </is>
      </c>
      <c r="D165" t="inlineStr">
        <is>
          <t>1001 - Alpen Handel GmbH</t>
        </is>
      </c>
      <c r="E165" t="inlineStr">
        <is>
          <t>Sensor A1</t>
        </is>
      </c>
      <c r="F165" t="n">
        <v>27</v>
      </c>
      <c r="G165" t="inlineStr">
        <is>
          <t>3566,97 EUR</t>
        </is>
      </c>
    </row>
    <row r="167" ht="42" customHeight="1">
      <c r="B167" s="14" t="inlineStr">
        <is>
          <t>Typische Probleme dieser Datei: drei Kopfzeilen über den Daten, Datum als Text, Kunde und Kundennummer in einer Spalte, Umsatz als Text mit Einheit. Genau das räumt Power Query auf.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1:E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2" customWidth="1" min="4" max="4"/>
    <col width="14" customWidth="1" min="5" max="5"/>
  </cols>
  <sheetData>
    <row r="1">
      <c r="B1" t="inlineStr">
        <is>
          <t>KundenID</t>
        </is>
      </c>
      <c r="C1" t="inlineStr">
        <is>
          <t>KundenName</t>
        </is>
      </c>
      <c r="D1" t="inlineStr">
        <is>
          <t>Region</t>
        </is>
      </c>
      <c r="E1" t="inlineStr">
        <is>
          <t>Rabatt</t>
        </is>
      </c>
    </row>
    <row r="2">
      <c r="B2" t="n">
        <v>1001</v>
      </c>
      <c r="C2" t="inlineStr">
        <is>
          <t>Alpen Handel GmbH</t>
        </is>
      </c>
      <c r="D2" t="inlineStr">
        <is>
          <t>Nord</t>
        </is>
      </c>
      <c r="E2" s="18" t="n">
        <v>0.03</v>
      </c>
    </row>
    <row r="3">
      <c r="B3" t="n">
        <v>1002</v>
      </c>
      <c r="C3" t="inlineStr">
        <is>
          <t>Donau Logistik AG</t>
        </is>
      </c>
      <c r="D3" t="inlineStr">
        <is>
          <t>Ost</t>
        </is>
      </c>
      <c r="E3" s="18" t="n">
        <v>0.05</v>
      </c>
    </row>
    <row r="4">
      <c r="B4" t="n">
        <v>1003</v>
      </c>
      <c r="C4" t="inlineStr">
        <is>
          <t>Tirol Technik KG</t>
        </is>
      </c>
      <c r="D4" t="inlineStr">
        <is>
          <t>West</t>
        </is>
      </c>
      <c r="E4" s="18" t="n">
        <v>0.04</v>
      </c>
    </row>
    <row r="5">
      <c r="B5" t="n">
        <v>1004</v>
      </c>
      <c r="C5" t="inlineStr">
        <is>
          <t>Wiener Werke GmbH</t>
        </is>
      </c>
      <c r="D5" t="inlineStr">
        <is>
          <t>Ost</t>
        </is>
      </c>
      <c r="E5" s="18" t="n">
        <v>0.06</v>
      </c>
    </row>
    <row r="6">
      <c r="B6" t="n">
        <v>1005</v>
      </c>
      <c r="C6" t="inlineStr">
        <is>
          <t>Süd Elektro OG</t>
        </is>
      </c>
      <c r="D6" t="inlineStr">
        <is>
          <t>Süd</t>
        </is>
      </c>
      <c r="E6" s="18" t="n">
        <v>0.02</v>
      </c>
    </row>
    <row r="7">
      <c r="B7" t="n">
        <v>1006</v>
      </c>
      <c r="C7" t="inlineStr">
        <is>
          <t>Bergland Bau AG</t>
        </is>
      </c>
      <c r="D7" t="inlineStr">
        <is>
          <t>West</t>
        </is>
      </c>
      <c r="E7" s="18" t="n">
        <v>0.045</v>
      </c>
    </row>
    <row r="8">
      <c r="B8" t="n">
        <v>1007</v>
      </c>
      <c r="C8" t="inlineStr">
        <is>
          <t>Seehafen Trading</t>
        </is>
      </c>
      <c r="D8" t="inlineStr">
        <is>
          <t>Nord</t>
        </is>
      </c>
      <c r="E8" s="18" t="n">
        <v>0.035</v>
      </c>
    </row>
    <row r="9">
      <c r="B9" t="n">
        <v>1008</v>
      </c>
      <c r="C9" t="inlineStr">
        <is>
          <t>Steirische Stahl AG</t>
        </is>
      </c>
      <c r="D9" t="inlineStr">
        <is>
          <t>Süd</t>
        </is>
      </c>
      <c r="E9" s="18" t="n">
        <v>0.055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B1:N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B1" t="inlineStr">
        <is>
          <t>Region</t>
        </is>
      </c>
      <c r="C1" t="inlineStr">
        <is>
          <t>Jän</t>
        </is>
      </c>
      <c r="D1" t="inlineStr">
        <is>
          <t>Feb</t>
        </is>
      </c>
      <c r="E1" t="inlineStr">
        <is>
          <t>Mär</t>
        </is>
      </c>
      <c r="F1" t="inlineStr">
        <is>
          <t>Apr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Okt</t>
        </is>
      </c>
      <c r="M1" t="inlineStr">
        <is>
          <t>Nov</t>
        </is>
      </c>
      <c r="N1" t="inlineStr">
        <is>
          <t>Dez</t>
        </is>
      </c>
    </row>
    <row r="2">
      <c r="B2" t="inlineStr">
        <is>
          <t>Nord</t>
        </is>
      </c>
      <c r="C2" s="19" t="n">
        <v>88977</v>
      </c>
      <c r="D2" s="19" t="n">
        <v>44540</v>
      </c>
      <c r="E2" s="19" t="n">
        <v>61615</v>
      </c>
      <c r="F2" s="19" t="n">
        <v>73954</v>
      </c>
      <c r="G2" s="19" t="n">
        <v>18785</v>
      </c>
      <c r="H2" s="19" t="n">
        <v>69094</v>
      </c>
      <c r="I2" s="19" t="n">
        <v>37903</v>
      </c>
      <c r="J2" s="19" t="n">
        <v>26314</v>
      </c>
      <c r="K2" s="19" t="n">
        <v>90145</v>
      </c>
      <c r="L2" s="19" t="n">
        <v>28191</v>
      </c>
      <c r="M2" s="19" t="n">
        <v>85060</v>
      </c>
      <c r="N2" s="19" t="n">
        <v>21693</v>
      </c>
    </row>
    <row r="3">
      <c r="B3" t="inlineStr">
        <is>
          <t>Süd</t>
        </is>
      </c>
      <c r="C3" s="19" t="n">
        <v>55495</v>
      </c>
      <c r="D3" s="19" t="n">
        <v>33470</v>
      </c>
      <c r="E3" s="19" t="n">
        <v>74762</v>
      </c>
      <c r="F3" s="19" t="n">
        <v>20398</v>
      </c>
      <c r="G3" s="19" t="n">
        <v>89248</v>
      </c>
      <c r="H3" s="19" t="n">
        <v>60302</v>
      </c>
      <c r="I3" s="19" t="n">
        <v>69044</v>
      </c>
      <c r="J3" s="19" t="n">
        <v>21962</v>
      </c>
      <c r="K3" s="19" t="n">
        <v>52405</v>
      </c>
      <c r="L3" s="19" t="n">
        <v>68856</v>
      </c>
      <c r="M3" s="19" t="n">
        <v>94689</v>
      </c>
      <c r="N3" s="19" t="n">
        <v>82282</v>
      </c>
    </row>
    <row r="4">
      <c r="B4" t="inlineStr">
        <is>
          <t>Ost</t>
        </is>
      </c>
      <c r="C4" s="19" t="n">
        <v>85782</v>
      </c>
      <c r="D4" s="19" t="n">
        <v>59404</v>
      </c>
      <c r="E4" s="19" t="n">
        <v>23402</v>
      </c>
      <c r="F4" s="19" t="n">
        <v>74218</v>
      </c>
      <c r="G4" s="19" t="n">
        <v>35839</v>
      </c>
      <c r="H4" s="19" t="n">
        <v>37862</v>
      </c>
      <c r="I4" s="19" t="n">
        <v>33675</v>
      </c>
      <c r="J4" s="19" t="n">
        <v>75593</v>
      </c>
      <c r="K4" s="19" t="n">
        <v>33643</v>
      </c>
      <c r="L4" s="19" t="n">
        <v>25289</v>
      </c>
      <c r="M4" s="19" t="n">
        <v>22438</v>
      </c>
      <c r="N4" s="19" t="n">
        <v>69845</v>
      </c>
    </row>
    <row r="5">
      <c r="B5" t="inlineStr">
        <is>
          <t>West</t>
        </is>
      </c>
      <c r="C5" s="19" t="n">
        <v>75700</v>
      </c>
      <c r="D5" s="19" t="n">
        <v>54154</v>
      </c>
      <c r="E5" s="19" t="n">
        <v>33252</v>
      </c>
      <c r="F5" s="19" t="n">
        <v>49929</v>
      </c>
      <c r="G5" s="19" t="n">
        <v>95455</v>
      </c>
      <c r="H5" s="19" t="n">
        <v>89261</v>
      </c>
      <c r="I5" s="19" t="n">
        <v>30682</v>
      </c>
      <c r="J5" s="19" t="n">
        <v>50853</v>
      </c>
      <c r="K5" s="19" t="n">
        <v>35234</v>
      </c>
      <c r="L5" s="19" t="n">
        <v>45697</v>
      </c>
      <c r="M5" s="19" t="n">
        <v>52444</v>
      </c>
      <c r="N5" s="19" t="n">
        <v>87140</v>
      </c>
    </row>
    <row r="8" ht="42" customHeight="1">
      <c r="B8" s="14" t="inlineStr">
        <is>
          <t>Diese Darstellung ist gut zum Anschauen, aber schlecht zum Auswerten. Power Query macht daraus mit Spalten entpivotieren eine saubere Liste mit drei Spalten: Region, Monat, Umsatz.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B2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1  Die erste Abfrage</t>
        </is>
      </c>
    </row>
    <row r="2">
      <c r="B2" s="16" t="inlineStr">
        <is>
          <t>Kapitel: Power Query - Einfache Abfrage aus einer Excel-Datei</t>
        </is>
      </c>
    </row>
    <row r="4" ht="28" customHeight="1">
      <c r="B4" s="2" t="inlineStr">
        <is>
          <t>Ziel: Aus dem unsauberen Blatt "Rohdaten Umsatz" eine saubere Tabelle machen - ohne die Originaldaten anzurühren.</t>
        </is>
      </c>
    </row>
    <row r="6">
      <c r="B6" s="3" t="inlineStr">
        <is>
          <t>Teil A - Abfrage aus derselben Arbeitsmappe</t>
        </is>
      </c>
    </row>
    <row r="7" ht="14" customHeight="1">
      <c r="B7" s="20" t="inlineStr">
        <is>
          <t xml:space="preserve"> 1.  Klicke in den Datenbereich auf dem Blatt "Rohdaten Umsatz".</t>
        </is>
      </c>
    </row>
    <row r="8" ht="42" customHeight="1">
      <c r="B8" s="20" t="inlineStr">
        <is>
          <t xml:space="preserve"> 2.  Daten - Daten abrufen und transformieren - Aus Tabelle/Bereich. Nimm im Dialog das Häkchen bei Überschriften HERAUS, weil die ersten Zeilen keine Überschriften sind.</t>
        </is>
      </c>
    </row>
    <row r="9" ht="28" customHeight="1">
      <c r="B9" s="20" t="inlineStr">
        <is>
          <t xml:space="preserve"> 3.  Im Power-Query-Editor: Start - Zeilen entfernen - Obere Zeilen entfernen - 4 Zeilen.</t>
        </is>
      </c>
    </row>
    <row r="10" ht="14" customHeight="1">
      <c r="B10" s="20" t="inlineStr">
        <is>
          <t xml:space="preserve"> 4.  Start - Erste Zeile als Überschriften verwenden.</t>
        </is>
      </c>
    </row>
    <row r="11" ht="28" customHeight="1">
      <c r="B11" s="20" t="inlineStr">
        <is>
          <t xml:space="preserve"> 5.  Benenne die Abfrage rechts unter Eigenschaften auf Umsatz_bereinigt um.</t>
        </is>
      </c>
    </row>
    <row r="12" ht="28" customHeight="1">
      <c r="B12" s="20" t="inlineStr">
        <is>
          <t xml:space="preserve"> 6.  Sieh dir rechts die Liste Angewendete Schritte an - klicke jeden Schritt einmal an und beobachte die Vorschau.</t>
        </is>
      </c>
    </row>
    <row r="13" ht="28" customHeight="1">
      <c r="B13" s="20" t="inlineStr">
        <is>
          <t xml:space="preserve"> 7.  Lösche testweise einen Schritt über das X davor und stelle ihn mit STRG + Z wieder her.</t>
        </is>
      </c>
    </row>
    <row r="14" ht="28" customHeight="1">
      <c r="B14" s="20" t="inlineStr">
        <is>
          <t xml:space="preserve"> 8.  Start - Schließen und laden in... - wähle Tabelle und Neues Arbeitsblatt.</t>
        </is>
      </c>
    </row>
    <row r="16">
      <c r="B16" s="3" t="inlineStr">
        <is>
          <t>Teil B - Abfrage aus einer anderen Datei</t>
        </is>
      </c>
    </row>
    <row r="17" ht="28" customHeight="1">
      <c r="B17" s="20" t="inlineStr">
        <is>
          <t xml:space="preserve"> 1.  Daten - Daten abrufen - Aus Datei - Aus Excel-Arbeitsmappe - wähle 07_PQ_Quelle.xlsx.</t>
        </is>
      </c>
    </row>
    <row r="18" ht="28" customHeight="1">
      <c r="B18" s="20" t="inlineStr">
        <is>
          <t xml:space="preserve"> 2.  Sieh dir im Navigator an, was die Datei anbietet: Arbeitsblätter, benannte Tabellen und definierte Namen.</t>
        </is>
      </c>
    </row>
    <row r="19" ht="28" customHeight="1">
      <c r="B19" s="20" t="inlineStr">
        <is>
          <t xml:space="preserve"> 3.  Wähle die Tabelle tab_ziele und klicke auf Daten transformieren (nicht auf Laden).</t>
        </is>
      </c>
    </row>
    <row r="20" ht="28" customHeight="1">
      <c r="B20" s="20" t="inlineStr">
        <is>
          <t xml:space="preserve"> 4.  Lade die Abfrage als Nur Verbindung erstellen - die Daten landen dann nicht im Blatt, sind aber verfügbar.</t>
        </is>
      </c>
    </row>
    <row r="21" ht="28" customHeight="1">
      <c r="B21" s="20" t="inlineStr">
        <is>
          <t xml:space="preserve"> 5.  Öffne Daten - Abfragen und Verbindungen und stelle die Lademethode per Rechtsklick auf Laden in... - Tabelle um.</t>
        </is>
      </c>
    </row>
    <row r="23">
      <c r="B23" s="3" t="inlineStr">
        <is>
          <t>Teil C - Abfrage pflegen</t>
        </is>
      </c>
    </row>
    <row r="24" ht="28" customHeight="1">
      <c r="B24" s="20" t="inlineStr">
        <is>
          <t xml:space="preserve"> 1.  Erstelle mit Rechtsklick auf die Abfrage eine Kopie erstellen und danach einen Verweis.</t>
        </is>
      </c>
    </row>
    <row r="25" ht="28" customHeight="1">
      <c r="B25" s="20" t="inlineStr">
        <is>
          <t xml:space="preserve"> 2.  Ändere in der Ursprungsabfrage einen Schritt und beobachte: die Kopie bleibt unverändert, der Verweis zieht mit.</t>
        </is>
      </c>
    </row>
    <row r="26" ht="14" customHeight="1">
      <c r="B26" s="20" t="inlineStr">
        <is>
          <t xml:space="preserve"> 3.  Lösche Kopie und Verweis wieder.</t>
        </is>
      </c>
    </row>
    <row r="27" ht="28" customHeight="1">
      <c r="B27" s="20" t="inlineStr">
        <is>
          <t xml:space="preserve"> 4.  Ändere im Blatt "Rohdaten Umsatz" eine Menge und aktualisiere die Abfrage (Daten - Alle aktualisieren, oder STRG + ALT + F5).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B1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2  Daten transformieren</t>
        </is>
      </c>
    </row>
    <row r="2">
      <c r="B2" s="16" t="inlineStr">
        <is>
          <t>Kapitel: Power Query - Funktionen im Menüband</t>
        </is>
      </c>
    </row>
    <row r="4">
      <c r="B4" s="3" t="inlineStr">
        <is>
          <t>Arbeite in der Abfrage Umsatz_bereinigt weiter</t>
        </is>
      </c>
    </row>
    <row r="5" ht="42" customHeight="1">
      <c r="B5" s="20" t="inlineStr">
        <is>
          <t xml:space="preserve"> 1.  Spalte Kunde: Start - Spalte teilen - Nach Trennzeichen - Benutzerdefiniert:  -  (Leerzeichen Bindestrich Leerzeichen). Es entstehen KundenID und KundenName.</t>
        </is>
      </c>
    </row>
    <row r="6" ht="28" customHeight="1">
      <c r="B6" s="20" t="inlineStr">
        <is>
          <t xml:space="preserve"> 2.  Benenne die neuen Spalten per Doppelklick auf den Spaltenkopf sinnvoll um.</t>
        </is>
      </c>
    </row>
    <row r="7" ht="42" customHeight="1">
      <c r="B7" s="20" t="inlineStr">
        <is>
          <t xml:space="preserve"> 3.  Spalte Umsatz: Start - Werte ersetzen - ersetze  EUR  durch nichts. Danach ersetze das Komma durch einen Punkt (oder stelle direkt das Gebietsschema ein).</t>
        </is>
      </c>
    </row>
    <row r="8" ht="28" customHeight="1">
      <c r="B8" s="20" t="inlineStr">
        <is>
          <t xml:space="preserve"> 4.  Setze für Umsatz den Datentyp auf Dezimalzahl. Alternative bei Zahlenformat-Problemen: Datentyp - Mit Gebietsschema - Deutsch (Österreich).</t>
        </is>
      </c>
    </row>
    <row r="9" ht="28" customHeight="1">
      <c r="B9" s="20" t="inlineStr">
        <is>
          <t xml:space="preserve"> 5.  Setze für Datum den Datentyp auf Datum, für Menge und KundenID auf Ganze Zahl.</t>
        </is>
      </c>
    </row>
    <row r="10" ht="28" customHeight="1">
      <c r="B10" s="20" t="inlineStr">
        <is>
          <t xml:space="preserve"> 6.  Transformieren - Datum - Jahr bzw. Monat: erzeuge zwei zusätzliche Spalten aus dem Datum.</t>
        </is>
      </c>
    </row>
    <row r="11" ht="28" customHeight="1">
      <c r="B11" s="20" t="inlineStr">
        <is>
          <t xml:space="preserve"> 7.  Spalte hinzufügen - Benutzerdefinierte Spalte: berechne den Umsatz pro Stück als  = [Umsatz] / [Menge]</t>
        </is>
      </c>
    </row>
    <row r="12" ht="14" customHeight="1">
      <c r="B12" s="20" t="inlineStr">
        <is>
          <t xml:space="preserve"> 8.  Verschiebe die neue Spalte per Drag-and-Drop nach vorne.</t>
        </is>
      </c>
    </row>
    <row r="13" ht="14" customHeight="1">
      <c r="B13" s="20" t="inlineStr">
        <is>
          <t xml:space="preserve"> 9.  Start - Sortieren: sortiere absteigend nach Umsatz.</t>
        </is>
      </c>
    </row>
    <row r="14" ht="42" customHeight="1">
      <c r="B14" s="20" t="inlineStr">
        <is>
          <t>10.  Transformieren - Statistik - probiere Summe und Mittelwert aus. Achtung: Das ersetzt die ganze Tabelle durch einen Wert - mach den Schritt danach wieder rückgängig.</t>
        </is>
      </c>
    </row>
    <row r="15" ht="14" customHeight="1">
      <c r="B15" s="20" t="inlineStr">
        <is>
          <t>11.  Lade das Ergebnis in ein neues Arbeitsblatt.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B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3  Abfragen zusammenführen</t>
        </is>
      </c>
    </row>
    <row r="2">
      <c r="B2" s="16" t="inlineStr">
        <is>
          <t>Kapitel: Power Query - Abfragen zusammenführen</t>
        </is>
      </c>
    </row>
    <row r="4" ht="28" customHeight="1">
      <c r="B4" s="2" t="inlineStr">
        <is>
          <t>Das ist der Power-Query-Ersatz für SVERWEIS bzw. INDEX/VERGLEICH - nur schneller, nachvollziehbar und ohne Formeln.</t>
        </is>
      </c>
    </row>
    <row r="6">
      <c r="B6" s="3" t="inlineStr">
        <is>
          <t>Schritte</t>
        </is>
      </c>
    </row>
    <row r="7" ht="28" customHeight="1">
      <c r="B7" s="20" t="inlineStr">
        <is>
          <t xml:space="preserve"> 1.  Lade auch das Blatt "Rohdaten Kunden" (Tabelle tab_kunden) als Abfrage - als Nur Verbindung erstellen.</t>
        </is>
      </c>
    </row>
    <row r="8" ht="14" customHeight="1">
      <c r="B8" s="20" t="inlineStr">
        <is>
          <t xml:space="preserve"> 2.  Öffne die Abfrage Umsatz_bereinigt im Editor.</t>
        </is>
      </c>
    </row>
    <row r="9" ht="14" customHeight="1">
      <c r="B9" s="20" t="inlineStr">
        <is>
          <t xml:space="preserve"> 3.  Start - Kombinieren - Abfragen zusammenführen (nicht Anfügen!).</t>
        </is>
      </c>
    </row>
    <row r="10" ht="14" customHeight="1">
      <c r="B10" s="20" t="inlineStr">
        <is>
          <t xml:space="preserve"> 4.  Wähle unten die Abfrage tab_kunden aus.</t>
        </is>
      </c>
    </row>
    <row r="11" ht="28" customHeight="1">
      <c r="B11" s="20" t="inlineStr">
        <is>
          <t xml:space="preserve"> 5.  Klicke in BEIDEN Vorschauen die Spalte mit der Kundennummer an - Excel meldet darunter, wie viele Zeilen übereinstimmen.</t>
        </is>
      </c>
    </row>
    <row r="12" ht="28" customHeight="1">
      <c r="B12" s="20" t="inlineStr">
        <is>
          <t xml:space="preserve"> 6.  Join-Art: Linker äußerer Join (alle aus der ersten, passende aus der zweiten).</t>
        </is>
      </c>
    </row>
    <row r="13" ht="28" customHeight="1">
      <c r="B13" s="20" t="inlineStr">
        <is>
          <t xml:space="preserve"> 7.  Nach OK entsteht eine Spalte mit dem Eintrag Table. Klicke auf das Symbol im Spaltenkopf und wähle nur Region und Rabatt aus.</t>
        </is>
      </c>
    </row>
    <row r="14" ht="28" customHeight="1">
      <c r="B14" s="20" t="inlineStr">
        <is>
          <t xml:space="preserve"> 8.  Nimm das Häkchen bei Ursprünglichen Spaltennamen als Präfix verwenden heraus.</t>
        </is>
      </c>
    </row>
    <row r="15" ht="28" customHeight="1">
      <c r="B15" s="20" t="inlineStr">
        <is>
          <t xml:space="preserve"> 9.  Spalte hinzufügen - Benutzerdefinierte Spalte: berechne den Nettoumsatz als  = [Umsatz] * (1 - [Rabatt])</t>
        </is>
      </c>
    </row>
    <row r="16" ht="14" customHeight="1">
      <c r="B16" s="20" t="inlineStr">
        <is>
          <t>10.  Lade das Ergebnis in ein neues Arbeitsblatt.</t>
        </is>
      </c>
    </row>
    <row r="18">
      <c r="B18" s="3" t="inlineStr">
        <is>
          <t>Zum Vergleich</t>
        </is>
      </c>
    </row>
    <row r="19" ht="28" customHeight="1">
      <c r="B19" s="20" t="inlineStr">
        <is>
          <t xml:space="preserve"> 1.  Probiere denselben Join einmal mit Innerer Join und einmal mit Vollständiger äußerer Join und beobachte, wie sich die Zeilenzahl ändert.</t>
        </is>
      </c>
    </row>
    <row r="20" ht="28" customHeight="1">
      <c r="B20" s="20" t="inlineStr">
        <is>
          <t xml:space="preserve"> 2.  Sieh dir Anfügen im Vergleich zu Zusammenführen an: Anfügen hängt Zeilen untereinander, Zusammenführen fügt Spalten daneben.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B1:D1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  <col width="18" customWidth="1" min="3" max="3"/>
    <col width="44" customWidth="1" min="4" max="4"/>
  </cols>
  <sheetData>
    <row r="1" ht="22" customHeight="1">
      <c r="B1" s="1" t="inlineStr">
        <is>
          <t>4  Entpivotieren</t>
        </is>
      </c>
    </row>
    <row r="2">
      <c r="B2" s="16" t="inlineStr">
        <is>
          <t>Kapitel: Power Query - Transformieren - Spalten entpivotieren</t>
        </is>
      </c>
    </row>
    <row r="4" ht="42" customHeight="1">
      <c r="B4" s="2" t="inlineStr">
        <is>
          <t>Die Kreuztabelle hat je Monat eine eigene Spalte. Für Pivot-Auswertungen und Diagramme brauchst du stattdessen eine Liste: eine Zeile je Region UND Monat. Genau das macht Entpivotieren.</t>
        </is>
      </c>
    </row>
    <row r="6">
      <c r="B6" s="3" t="inlineStr">
        <is>
          <t>Schritte</t>
        </is>
      </c>
    </row>
    <row r="7" ht="14" customHeight="1">
      <c r="B7" s="20" t="inlineStr">
        <is>
          <t xml:space="preserve"> 1.  Lade das Blatt "Kreuztabelle" (Tabelle tab_kreuz) als Abfrage.</t>
        </is>
      </c>
    </row>
    <row r="8" ht="14" customHeight="1">
      <c r="B8" s="20" t="inlineStr">
        <is>
          <t xml:space="preserve"> 2.  Markiere im Editor die Spalte Region.</t>
        </is>
      </c>
    </row>
    <row r="9" ht="28" customHeight="1">
      <c r="B9" s="20" t="inlineStr">
        <is>
          <t xml:space="preserve"> 3.  Transformieren - Andere Spalten entpivotieren. So bleiben auch später hinzukommende Monatsspalten automatisch berücksichtigt.</t>
        </is>
      </c>
    </row>
    <row r="10" ht="28" customHeight="1">
      <c r="B10" s="20" t="inlineStr">
        <is>
          <t xml:space="preserve"> 4.  Benenne die entstandenen Spalten Attribut auf Monat und Wert auf Umsatz um.</t>
        </is>
      </c>
    </row>
    <row r="11" ht="14" customHeight="1">
      <c r="B11" s="20" t="inlineStr">
        <is>
          <t xml:space="preserve"> 5.  Setze den Datentyp von Umsatz auf Ganze Zahl.</t>
        </is>
      </c>
    </row>
    <row r="12" ht="28" customHeight="1">
      <c r="B12" s="20" t="inlineStr">
        <is>
          <t xml:space="preserve"> 6.  Lade das Ergebnis in ein neues Arbeitsblatt und prüfe: Es müssen 4 mal 12 = 48 Zeilen sein.</t>
        </is>
      </c>
    </row>
    <row r="13" ht="28" customHeight="1">
      <c r="B13" s="20" t="inlineStr">
        <is>
          <t xml:space="preserve"> 7.  Probiere den Rückweg: Markiere die Spalte Monat und wähle Transformieren - Spalte pivotieren mit dem Wertespalten-Feld Umsatz.</t>
        </is>
      </c>
    </row>
    <row r="16">
      <c r="B16" s="11" t="inlineStr">
        <is>
          <t>Kontrollfrage</t>
        </is>
      </c>
      <c r="C16" s="11" t="inlineStr">
        <is>
          <t>dein Ergebnis</t>
        </is>
      </c>
      <c r="D16" s="11" t="inlineStr">
        <is>
          <t>Kontrolle</t>
        </is>
      </c>
    </row>
    <row r="17" ht="14" customHeight="1">
      <c r="B17" s="13" t="inlineStr">
        <is>
          <t>Wie viele Zeilen hat die entpivotierte Liste?</t>
        </is>
      </c>
      <c r="C17" s="21" t="n"/>
      <c r="D17" s="22">
        <f>IF(C17="","Kontrolle",IF(ABS(C17-48)&lt;0.5,"OK - richtig","noch nicht richtig"))</f>
        <v/>
      </c>
    </row>
    <row r="18" ht="14" customHeight="1">
      <c r="B18" s="13" t="inlineStr">
        <is>
          <t>Gesamtumsatz über alle Regionen und Monate</t>
        </is>
      </c>
      <c r="C18" s="21" t="n"/>
      <c r="D18" s="22">
        <f>IF(C18="","Kontrolle",IF(ABS(C18-2645975)&lt;0.5,"OK - richtig","noch nicht richtig"))</f>
        <v/>
      </c>
    </row>
    <row r="19" ht="14" customHeight="1">
      <c r="B19" s="13" t="inlineStr">
        <is>
          <t>Umsatz der Region Nord über alle Monate</t>
        </is>
      </c>
      <c r="C19" s="21" t="n"/>
      <c r="D19" s="22">
        <f>IF(C19="","Kontrolle",IF(ABS(C19-646271)&lt;0.5,"OK - richtig","noch nicht richtig"))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B1:B1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5  Abfragen über einen ganzen Ordner</t>
        </is>
      </c>
    </row>
    <row r="2">
      <c r="B2" s="16" t="inlineStr">
        <is>
          <t>Kapitel: Power Query - Abfragen von Ordnern</t>
        </is>
      </c>
    </row>
    <row r="4" ht="56" customHeight="1">
      <c r="B4" s="2" t="inlineStr">
        <is>
          <t>Im Ordner 07_PQ_Ordner liegen sieben Dateien mit Baugenehmigungsstatistiken (2010 bis 2016) - alle gleich aufgebaut. Statt sie einzeln zu öffnen und zusammenzukopieren, liest Power Query den ganzen Ordner auf einmal ein.</t>
        </is>
      </c>
    </row>
    <row r="6">
      <c r="B6" s="3" t="inlineStr">
        <is>
          <t>Schritte</t>
        </is>
      </c>
    </row>
    <row r="7" ht="28" customHeight="1">
      <c r="B7" s="20" t="inlineStr">
        <is>
          <t xml:space="preserve"> 1.  Daten - Daten abrufen - Aus Datei - Aus Ordner - wähle den Ordner 07_PQ_Ordner.</t>
        </is>
      </c>
    </row>
    <row r="8" ht="28" customHeight="1">
      <c r="B8" s="20" t="inlineStr">
        <is>
          <t xml:space="preserve"> 2.  Es erscheint eine Liste aller Dateien. Klicke auf Daten transformieren (nicht auf Kombinieren).</t>
        </is>
      </c>
    </row>
    <row r="9" ht="28" customHeight="1">
      <c r="B9" s="20" t="inlineStr">
        <is>
          <t xml:space="preserve"> 3.  Sieh dir die Spalten an: Content, Name, Extension, Date modified, Folder Path. Behalte Content und Name.</t>
        </is>
      </c>
    </row>
    <row r="10" ht="42" customHeight="1">
      <c r="B10" s="20" t="inlineStr">
        <is>
          <t xml:space="preserve"> 4.  Klicke im Spaltenkopf von Content auf das Symbol zum Kombinieren. Excel öffnet die erste Datei als Beispiel - wähle dort das gewünschte Arbeitsblatt.</t>
        </is>
      </c>
    </row>
    <row r="11" ht="28" customHeight="1">
      <c r="B11" s="20" t="inlineStr">
        <is>
          <t xml:space="preserve"> 5.  Links erscheinen jetzt mehrere Hilfsabfragen. Relevant ist nur die Abfrage unter Andere Abfragen.</t>
        </is>
      </c>
    </row>
    <row r="12" ht="28" customHeight="1">
      <c r="B12" s="20" t="inlineStr">
        <is>
          <t xml:space="preserve"> 6.  Entferne die überflüssigen Kopfzeilen, verwende die erste Zeile als Überschriften und setze die Datentypen.</t>
        </is>
      </c>
    </row>
    <row r="13" ht="28" customHeight="1">
      <c r="B13" s="20" t="inlineStr">
        <is>
          <t xml:space="preserve"> 7.  Filtere die Zeilen heraus, in denen in der Regionalspalte eine Jahreszahl statt eines Kreisnamens steht.</t>
        </is>
      </c>
    </row>
    <row r="14" ht="28" customHeight="1">
      <c r="B14" s="20" t="inlineStr">
        <is>
          <t xml:space="preserve"> 8.  Ergänze über den Dateinamen eine Spalte Jahr (Spalte hinzufügen - Beispiele aus Spalten oder Text extrahieren).</t>
        </is>
      </c>
    </row>
    <row r="15" ht="14" customHeight="1">
      <c r="B15" s="20" t="inlineStr">
        <is>
          <t xml:space="preserve"> 9.  Lade das Ergebnis als Pivot-Tabelle statt als Tabelle.</t>
        </is>
      </c>
    </row>
    <row r="16" ht="42" customHeight="1">
      <c r="B16" s="20" t="inlineStr">
        <is>
          <t>10.  Kopiere eine der Jahresdateien, benenne die Kopie auf 2017.xlsx um und lege sie in denselben Ordner. Aktualisiere die Abfrage - die neue Datei ist automatisch dabei.</t>
        </is>
      </c>
    </row>
    <row r="19" ht="42" customHeight="1">
      <c r="B19" s="14" t="inlineStr">
        <is>
          <t>Achtung bei Filtern über Häkchen: Neue Werte, die erst nach dem Setzen des Filters dazukommen, werden nicht automatisch mitgenommen. Verwende deshalb lieber Textfilter oder Bedingungen statt Häkchenlisten.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B1:D1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  <col width="18" customWidth="1" min="3" max="3"/>
    <col width="44" customWidth="1" min="4" max="4"/>
  </cols>
  <sheetData>
    <row r="1" ht="22" customHeight="1">
      <c r="B1" s="1" t="inlineStr">
        <is>
          <t>6  Kontrollwerte</t>
        </is>
      </c>
    </row>
    <row r="2">
      <c r="B2" s="16" t="inlineStr">
        <is>
          <t>Lies die Werte aus deinen geladenen Abfragen ab.</t>
        </is>
      </c>
    </row>
    <row r="4" ht="14" customHeight="1">
      <c r="B4" s="2" t="inlineStr">
        <is>
          <t>Wenn diese Zahlen stimmen, hast du sauber transformiert.</t>
        </is>
      </c>
    </row>
    <row r="6">
      <c r="B6" s="11" t="inlineStr">
        <is>
          <t>Kontrollfrage</t>
        </is>
      </c>
      <c r="C6" s="11" t="inlineStr">
        <is>
          <t>dein Ergebnis</t>
        </is>
      </c>
      <c r="D6" s="11" t="inlineStr">
        <is>
          <t>Kontrolle</t>
        </is>
      </c>
    </row>
    <row r="7" ht="14" customHeight="1">
      <c r="B7" s="13" t="inlineStr">
        <is>
          <t>Anzahl der Datenzeilen der bereinigten Umsatzabfrage</t>
        </is>
      </c>
      <c r="C7" s="21" t="n"/>
      <c r="D7" s="22">
        <f>IF(C7="","Kontrolle",IF(ABS(C7-160)&lt;0.5,"OK - richtig","noch nicht richtig"))</f>
        <v/>
      </c>
    </row>
    <row r="8" ht="14" customHeight="1">
      <c r="B8" s="13" t="inlineStr">
        <is>
          <t>Gesamtumsatz laut bereinigter Abfrage in EUR</t>
        </is>
      </c>
      <c r="C8" s="23" t="n"/>
      <c r="D8" s="22">
        <f>IF(C8="","Kontrolle",IF(ABS(C8-597493.4)&lt;0.5,"OK - richtig","noch nicht richtig"))</f>
        <v/>
      </c>
    </row>
    <row r="9" ht="14" customHeight="1">
      <c r="B9" s="13" t="inlineStr">
        <is>
          <t>Höchster Einzelumsatz in EUR</t>
        </is>
      </c>
      <c r="C9" s="23" t="n"/>
      <c r="D9" s="22">
        <f>IF(C9="","Kontrolle",IF(ABS(C9-13838.8)&lt;0.5,"OK - richtig","noch nicht richtig"))</f>
        <v/>
      </c>
    </row>
    <row r="10" ht="14" customHeight="1">
      <c r="B10" s="13" t="inlineStr">
        <is>
          <t>Umsatz mit dem Produkt Sensor A1 in EUR</t>
        </is>
      </c>
      <c r="C10" s="23" t="n"/>
      <c r="D10" s="22">
        <f>IF(C10="","Kontrolle",IF(ABS(C10-105794.57)&lt;0.5,"OK - richtig","noch nicht richtig"))</f>
        <v/>
      </c>
    </row>
    <row r="11" ht="14" customHeight="1">
      <c r="B11" s="13" t="inlineStr">
        <is>
          <t>Nettoumsatz nach Kundenrabatt (Aufgabe 3) in EUR</t>
        </is>
      </c>
      <c r="C11" s="23" t="n"/>
      <c r="D11" s="22">
        <f>IF(C11="","Kontrolle",IF(ABS(C11-572526.9241)&lt;1.0,"OK - richtig","noch nicht richtig"))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B1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6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4" t="inlineStr">
        <is>
          <t>1 Erste Abfrage</t>
        </is>
      </c>
      <c r="C5" s="13" t="inlineStr">
        <is>
          <t>Kopfzeilen entfernen</t>
        </is>
      </c>
      <c r="D5" s="25" t="inlineStr">
        <is>
          <t>Start - Zeilen entfernen - Obere Zeilen entfernen - 4, danach Erste Zeile als Überschriften</t>
        </is>
      </c>
    </row>
    <row r="6" ht="13" customHeight="1">
      <c r="B6" s="24" t="inlineStr"/>
      <c r="C6" s="13" t="inlineStr">
        <is>
          <t>Nur Verbindung</t>
        </is>
      </c>
      <c r="D6" s="25" t="inlineStr">
        <is>
          <t>Schließen und laden in... - Nur Verbindung erstellen</t>
        </is>
      </c>
    </row>
    <row r="7" ht="26" customHeight="1">
      <c r="B7" s="24" t="inlineStr"/>
      <c r="C7" s="13" t="inlineStr">
        <is>
          <t>Kopie vs. Verweis</t>
        </is>
      </c>
      <c r="D7" s="25" t="inlineStr">
        <is>
          <t>Kopie ist unabhängig, ein Verweis nutzt die Ursprungsabfrage als Quelle und zieht Änderungen mit</t>
        </is>
      </c>
    </row>
    <row r="8" ht="13" customHeight="1">
      <c r="B8" s="24" t="inlineStr">
        <is>
          <t>2 Transformieren</t>
        </is>
      </c>
      <c r="C8" s="13" t="inlineStr">
        <is>
          <t>Spalte teilen</t>
        </is>
      </c>
      <c r="D8" s="25" t="inlineStr">
        <is>
          <t xml:space="preserve">Start - Spalte teilen - Nach Trennzeichen - Benutzerdefiniert:  -  </t>
        </is>
      </c>
    </row>
    <row r="9" ht="26" customHeight="1">
      <c r="B9" s="24" t="inlineStr"/>
      <c r="C9" s="13" t="inlineStr">
        <is>
          <t>Text zu Zahl</t>
        </is>
      </c>
      <c r="D9" s="25" t="inlineStr">
        <is>
          <t>Werte ersetzen ( EUR durch nichts) und danach Datentyp Dezimalzahl - notfalls Mit Gebietsschema</t>
        </is>
      </c>
    </row>
    <row r="10" ht="13" customHeight="1">
      <c r="B10" s="24" t="inlineStr"/>
      <c r="C10" s="13" t="inlineStr">
        <is>
          <t>Berechnete Spalte</t>
        </is>
      </c>
      <c r="D10" s="25" t="inlineStr">
        <is>
          <t>Spalte hinzufügen - Benutzerdefinierte Spalte:  = [Umsatz] / [Menge]</t>
        </is>
      </c>
    </row>
    <row r="11" ht="13" customHeight="1">
      <c r="B11" s="24" t="inlineStr">
        <is>
          <t>3 Zusammenführen</t>
        </is>
      </c>
      <c r="C11" s="13" t="inlineStr">
        <is>
          <t>Join</t>
        </is>
      </c>
      <c r="D11" s="25" t="inlineStr">
        <is>
          <t>Start - Kombinieren - Abfragen zusammenführen; Schlüsselspalte in beiden Vorschauen anklicken</t>
        </is>
      </c>
    </row>
    <row r="12" ht="13" customHeight="1">
      <c r="B12" s="24" t="inlineStr"/>
      <c r="C12" s="13" t="inlineStr">
        <is>
          <t>Spalten auswählen</t>
        </is>
      </c>
      <c r="D12" s="25" t="inlineStr">
        <is>
          <t>Symbol im Spaltenkopf der Table-Spalte; Häkchen bei Präfix entfernen</t>
        </is>
      </c>
    </row>
    <row r="13" ht="13" customHeight="1">
      <c r="B13" s="24" t="inlineStr"/>
      <c r="C13" s="13" t="inlineStr">
        <is>
          <t>Anfügen vs. Zusammenführen</t>
        </is>
      </c>
      <c r="D13" s="25" t="inlineStr">
        <is>
          <t>Anfügen = Zeilen untereinander, Zusammenführen = Spalten nebeneinander</t>
        </is>
      </c>
    </row>
    <row r="14" ht="13" customHeight="1">
      <c r="B14" s="24" t="inlineStr">
        <is>
          <t>4 Entpivotieren</t>
        </is>
      </c>
      <c r="C14" s="13" t="inlineStr">
        <is>
          <t>Vorgehen</t>
        </is>
      </c>
      <c r="D14" s="25" t="inlineStr">
        <is>
          <t>Schlüsselspalte markieren - Transformieren - ANDERE Spalten entpivotieren</t>
        </is>
      </c>
    </row>
    <row r="15" ht="13" customHeight="1">
      <c r="B15" s="24" t="inlineStr"/>
      <c r="C15" s="13" t="inlineStr">
        <is>
          <t>Kontrollwerte</t>
        </is>
      </c>
      <c r="D15" s="25" t="inlineStr">
        <is>
          <t>48 Zeilen  |  Gesamtumsatz 2.645.975  |  Region Nord 646.271</t>
        </is>
      </c>
    </row>
    <row r="16" ht="13" customHeight="1">
      <c r="B16" s="24" t="inlineStr">
        <is>
          <t>5 Aus Ordner</t>
        </is>
      </c>
      <c r="C16" s="13" t="inlineStr">
        <is>
          <t>Ordner einlesen</t>
        </is>
      </c>
      <c r="D16" s="25" t="inlineStr">
        <is>
          <t>Daten abrufen - Aus Datei - Aus Ordner - Daten transformieren - Spalte Content kombinieren</t>
        </is>
      </c>
    </row>
    <row r="17" ht="13" customHeight="1">
      <c r="B17" s="24" t="inlineStr"/>
      <c r="C17" s="13" t="inlineStr">
        <is>
          <t>Neue Dateien</t>
        </is>
      </c>
      <c r="D17" s="25" t="inlineStr">
        <is>
          <t>Einfach in den Ordner legen und die Abfrage aktualisieren - kein neuer Schritt nötig</t>
        </is>
      </c>
    </row>
    <row r="18" ht="13" customHeight="1">
      <c r="B18" s="24" t="inlineStr"/>
      <c r="C18" s="13" t="inlineStr">
        <is>
          <t>Filter-Falle</t>
        </is>
      </c>
      <c r="D18" s="25" t="inlineStr">
        <is>
          <t>Häkchenfilter nehmen später hinzukommende Werte NICHT automatisch mit</t>
        </is>
      </c>
    </row>
    <row r="19" ht="26" customHeight="1">
      <c r="B19" s="24" t="inlineStr">
        <is>
          <t>6 Kontrollwerte</t>
        </is>
      </c>
      <c r="C19" s="13" t="inlineStr">
        <is>
          <t>Sollwerte</t>
        </is>
      </c>
      <c r="D19" s="25" t="inlineStr">
        <is>
          <t>Zeilen: 160  |  Umsatz gesamt: 597.493.40  |  höchster Einzelumsatz: 13.838.80  |  Sensor A1: 105.794.57  |  netto: 572.526.92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2026-08-21T07:48:17Z</dcterms:created>
  <dcterms:modified xsi:type="dcterms:W3CDTF">2026-08-21T07:48:17Z</dcterms:modified>
</cp:coreProperties>
</file>