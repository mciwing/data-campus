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ten" sheetId="2" state="visible" r:id="rId2"/>
    <sheet name="Pivot" sheetId="3" state="visible" r:id="rId3"/>
    <sheet name="1 Kontrollwerte" sheetId="4" state="visible" r:id="rId4"/>
    <sheet name="2 Zusatzaufgaben" sheetId="5" state="visible" r:id="rId5"/>
    <sheet name="Lösung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color rgb="00375623"/>
      <sz val="10"/>
    </font>
    <font>
      <b val="1"/>
      <sz val="11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3" fontId="0" fillId="2" borderId="1" pivotButton="0" quotePrefix="0" xfId="0"/>
    <xf numFmtId="0" fontId="7" fillId="0" borderId="0" pivotButton="0" quotePrefix="0" xfId="0"/>
    <xf numFmtId="4" fontId="0" fillId="2" borderId="1" pivotButton="0" quotePrefix="0" xfId="0"/>
    <xf numFmtId="0" fontId="8" fillId="0" borderId="0" applyAlignment="1" pivotButton="0" quotePrefix="0" xfId="0">
      <alignment vertical="top" wrapText="1"/>
    </xf>
    <xf numFmtId="0" fontId="0" fillId="0" borderId="2" pivotButton="0" quotePrefix="0" xfId="0"/>
    <xf numFmtId="0" fontId="5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Verkaeufe" displayName="Verkaeufe" ref="B1:I421" headerRowCount="1">
  <autoFilter ref="B1:I421"/>
  <tableColumns count="8">
    <tableColumn id="2" name="Datum"/>
    <tableColumn id="3" name="Filiale"/>
    <tableColumn id="4" name="Verkäufer"/>
    <tableColumn id="5" name="Firma"/>
    <tableColumn id="6" name="Produkt"/>
    <tableColumn id="7" name="Anzahl"/>
    <tableColumn id="8" name="Einzelpreis"/>
    <tableColumn id="9" name="Umsatz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SLE_Pivot.xlsx  -  Pivot-Tabellen (Selbstlerneinheit)</t>
        </is>
      </c>
    </row>
    <row r="4" ht="70" customHeight="1">
      <c r="B4" s="2" t="inlineStr">
        <is>
          <t>Diese Arbeitsmappe gehört zu den beiden PDF-Dokumenten SLE_Pivot.pdf (Anleitung) und 06_Pivot.pdf (Übungsteil). Die Verkaufsliste auf dem Blatt "Daten" enthält Datum, Filiale, Verkäufer, Firma, Produkt und Umsatz für die Jahre 2017 und 2018 - genau die Felder, die in der Anleitung verwendet werden.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Daten</t>
        </is>
      </c>
      <c r="C23" s="13" t="inlineStr">
        <is>
          <t>Verkaufsliste als echte Tabelle - Grundlage aller Pivot-Auswertungen</t>
        </is>
      </c>
    </row>
    <row r="24">
      <c r="B24" s="12" t="inlineStr">
        <is>
          <t>Pivot</t>
        </is>
      </c>
      <c r="C24" s="13" t="inlineStr">
        <is>
          <t>Leeres Blatt - hier baust du deine Pivot-Tabellen auf</t>
        </is>
      </c>
    </row>
    <row r="25">
      <c r="B25" s="12" t="inlineStr">
        <is>
          <t>1 Kontrollwerte</t>
        </is>
      </c>
      <c r="C25" s="13" t="inlineStr">
        <is>
          <t>Prüfe hier, ob deine Pivot-Tabelle die richtigen Zahlen liefert</t>
        </is>
      </c>
    </row>
    <row r="26">
      <c r="B26" s="12" t="inlineStr">
        <is>
          <t>2 Zusatzaufgaben</t>
        </is>
      </c>
      <c r="C26" s="13" t="inlineStr">
        <is>
          <t>Weitere Auswertungen über die PDF-Anleitung hinaus</t>
        </is>
      </c>
    </row>
    <row r="28" ht="56" customHeight="1">
      <c r="B28" s="14" t="inlineStr">
        <is>
          <t>Die Daten liegen bereits als echte Tabelle vor (Name: Verkaeufe). Dadurch erweitert sich jede Pivot-Auswertung automatisch, wenn du unten neue Zeilen ergänzt - du musst sie nur aktualisieren (Rechtsklick - Aktualisieren).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1:I42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>
      <c r="B1" t="inlineStr">
        <is>
          <t>Datum</t>
        </is>
      </c>
      <c r="C1" t="inlineStr">
        <is>
          <t>Filiale</t>
        </is>
      </c>
      <c r="D1" t="inlineStr">
        <is>
          <t>Verkäufer</t>
        </is>
      </c>
      <c r="E1" t="inlineStr">
        <is>
          <t>Firma</t>
        </is>
      </c>
      <c r="F1" t="inlineStr">
        <is>
          <t>Produkt</t>
        </is>
      </c>
      <c r="G1" t="inlineStr">
        <is>
          <t>Anzahl</t>
        </is>
      </c>
      <c r="H1" t="inlineStr">
        <is>
          <t>Einzelpreis</t>
        </is>
      </c>
      <c r="I1" t="inlineStr">
        <is>
          <t>Umsatz</t>
        </is>
      </c>
    </row>
    <row r="2">
      <c r="B2" s="15" t="n">
        <v>42738</v>
      </c>
      <c r="C2" t="inlineStr">
        <is>
          <t>Wien</t>
        </is>
      </c>
      <c r="D2" t="inlineStr">
        <is>
          <t>Moser</t>
        </is>
      </c>
      <c r="E2" t="inlineStr">
        <is>
          <t>Huawei</t>
        </is>
      </c>
      <c r="F2" t="inlineStr">
        <is>
          <t>MediaPad</t>
        </is>
      </c>
      <c r="G2" s="16" t="n">
        <v>9</v>
      </c>
      <c r="H2" s="17" t="n">
        <v>269</v>
      </c>
      <c r="I2" s="17" t="n">
        <v>2421</v>
      </c>
    </row>
    <row r="3">
      <c r="B3" s="15" t="n">
        <v>42738</v>
      </c>
      <c r="C3" t="inlineStr">
        <is>
          <t>Graz</t>
        </is>
      </c>
      <c r="D3" t="inlineStr">
        <is>
          <t>Wagner</t>
        </is>
      </c>
      <c r="E3" t="inlineStr">
        <is>
          <t>Sony</t>
        </is>
      </c>
      <c r="F3" t="inlineStr">
        <is>
          <t>Xperia L2</t>
        </is>
      </c>
      <c r="G3" s="16" t="n">
        <v>10</v>
      </c>
      <c r="H3" s="17" t="n">
        <v>249</v>
      </c>
      <c r="I3" s="17" t="n">
        <v>2490</v>
      </c>
    </row>
    <row r="4">
      <c r="B4" s="15" t="n">
        <v>42739</v>
      </c>
      <c r="C4" t="inlineStr">
        <is>
          <t>Graz</t>
        </is>
      </c>
      <c r="D4" t="inlineStr">
        <is>
          <t>Huber</t>
        </is>
      </c>
      <c r="E4" t="inlineStr">
        <is>
          <t>Samsung</t>
        </is>
      </c>
      <c r="F4" t="inlineStr">
        <is>
          <t>Galaxy S9</t>
        </is>
      </c>
      <c r="G4" s="16" t="n">
        <v>4</v>
      </c>
      <c r="H4" s="17" t="n">
        <v>849</v>
      </c>
      <c r="I4" s="17" t="n">
        <v>3396</v>
      </c>
    </row>
    <row r="5">
      <c r="B5" s="15" t="n">
        <v>42739</v>
      </c>
      <c r="C5" t="inlineStr">
        <is>
          <t>Salzburg</t>
        </is>
      </c>
      <c r="D5" t="inlineStr">
        <is>
          <t>Moser</t>
        </is>
      </c>
      <c r="E5" t="inlineStr">
        <is>
          <t>Apple</t>
        </is>
      </c>
      <c r="F5" t="inlineStr">
        <is>
          <t>iPhone 8</t>
        </is>
      </c>
      <c r="G5" s="16" t="n">
        <v>6</v>
      </c>
      <c r="H5" s="17" t="n">
        <v>649</v>
      </c>
      <c r="I5" s="17" t="n">
        <v>3894</v>
      </c>
    </row>
    <row r="6">
      <c r="B6" s="15" t="n">
        <v>42741</v>
      </c>
      <c r="C6" t="inlineStr">
        <is>
          <t>Salzburg</t>
        </is>
      </c>
      <c r="D6" t="inlineStr">
        <is>
          <t>Hoffmann</t>
        </is>
      </c>
      <c r="E6" t="inlineStr">
        <is>
          <t>Huawei</t>
        </is>
      </c>
      <c r="F6" t="inlineStr">
        <is>
          <t>P20</t>
        </is>
      </c>
      <c r="G6" s="16" t="n">
        <v>11</v>
      </c>
      <c r="H6" s="17" t="n">
        <v>499</v>
      </c>
      <c r="I6" s="17" t="n">
        <v>5489</v>
      </c>
    </row>
    <row r="7">
      <c r="B7" s="15" t="n">
        <v>42741</v>
      </c>
      <c r="C7" t="inlineStr">
        <is>
          <t>Linz</t>
        </is>
      </c>
      <c r="D7" t="inlineStr">
        <is>
          <t>Moser</t>
        </is>
      </c>
      <c r="E7" t="inlineStr">
        <is>
          <t>Apple</t>
        </is>
      </c>
      <c r="F7" t="inlineStr">
        <is>
          <t>MacBook Air</t>
        </is>
      </c>
      <c r="G7" s="16" t="n">
        <v>4</v>
      </c>
      <c r="H7" s="17" t="n">
        <v>1199</v>
      </c>
      <c r="I7" s="17" t="n">
        <v>4796</v>
      </c>
    </row>
    <row r="8">
      <c r="B8" s="15" t="n">
        <v>42742</v>
      </c>
      <c r="C8" t="inlineStr">
        <is>
          <t>Linz</t>
        </is>
      </c>
      <c r="D8" t="inlineStr">
        <is>
          <t>Berger</t>
        </is>
      </c>
      <c r="E8" t="inlineStr">
        <is>
          <t>Apple</t>
        </is>
      </c>
      <c r="F8" t="inlineStr">
        <is>
          <t>iPhone X</t>
        </is>
      </c>
      <c r="G8" s="16" t="n">
        <v>4</v>
      </c>
      <c r="H8" s="17" t="n">
        <v>1149</v>
      </c>
      <c r="I8" s="17" t="n">
        <v>4596</v>
      </c>
    </row>
    <row r="9">
      <c r="B9" s="15" t="n">
        <v>42742</v>
      </c>
      <c r="C9" t="inlineStr">
        <is>
          <t>Graz</t>
        </is>
      </c>
      <c r="D9" t="inlineStr">
        <is>
          <t>Berger</t>
        </is>
      </c>
      <c r="E9" t="inlineStr">
        <is>
          <t>Apple</t>
        </is>
      </c>
      <c r="F9" t="inlineStr">
        <is>
          <t>MacBook Air</t>
        </is>
      </c>
      <c r="G9" s="16" t="n">
        <v>10</v>
      </c>
      <c r="H9" s="17" t="n">
        <v>1199</v>
      </c>
      <c r="I9" s="17" t="n">
        <v>11990</v>
      </c>
    </row>
    <row r="10">
      <c r="B10" s="15" t="n">
        <v>42743</v>
      </c>
      <c r="C10" t="inlineStr">
        <is>
          <t>Wien</t>
        </is>
      </c>
      <c r="D10" t="inlineStr">
        <is>
          <t>Hoffmann</t>
        </is>
      </c>
      <c r="E10" t="inlineStr">
        <is>
          <t>Apple</t>
        </is>
      </c>
      <c r="F10" t="inlineStr">
        <is>
          <t>iPhone X</t>
        </is>
      </c>
      <c r="G10" s="16" t="n">
        <v>2</v>
      </c>
      <c r="H10" s="17" t="n">
        <v>1149</v>
      </c>
      <c r="I10" s="17" t="n">
        <v>2298</v>
      </c>
    </row>
    <row r="11">
      <c r="B11" s="15" t="n">
        <v>42744</v>
      </c>
      <c r="C11" t="inlineStr">
        <is>
          <t>Salzburg</t>
        </is>
      </c>
      <c r="D11" t="inlineStr">
        <is>
          <t>Berger</t>
        </is>
      </c>
      <c r="E11" t="inlineStr">
        <is>
          <t>Samsung</t>
        </is>
      </c>
      <c r="F11" t="inlineStr">
        <is>
          <t>Galaxy S8</t>
        </is>
      </c>
      <c r="G11" s="16" t="n">
        <v>6</v>
      </c>
      <c r="H11" s="17" t="n">
        <v>599</v>
      </c>
      <c r="I11" s="17" t="n">
        <v>3594</v>
      </c>
    </row>
    <row r="12">
      <c r="B12" s="15" t="n">
        <v>42748</v>
      </c>
      <c r="C12" t="inlineStr">
        <is>
          <t>Wien</t>
        </is>
      </c>
      <c r="D12" t="inlineStr">
        <is>
          <t>Steiner</t>
        </is>
      </c>
      <c r="E12" t="inlineStr">
        <is>
          <t>Samsung</t>
        </is>
      </c>
      <c r="F12" t="inlineStr">
        <is>
          <t>Galaxy S8</t>
        </is>
      </c>
      <c r="G12" s="16" t="n">
        <v>3</v>
      </c>
      <c r="H12" s="17" t="n">
        <v>599</v>
      </c>
      <c r="I12" s="17" t="n">
        <v>1797</v>
      </c>
    </row>
    <row r="13">
      <c r="B13" s="15" t="n">
        <v>42749</v>
      </c>
      <c r="C13" t="inlineStr">
        <is>
          <t>Linz</t>
        </is>
      </c>
      <c r="D13" t="inlineStr">
        <is>
          <t>Berger</t>
        </is>
      </c>
      <c r="E13" t="inlineStr">
        <is>
          <t>Samsung</t>
        </is>
      </c>
      <c r="F13" t="inlineStr">
        <is>
          <t>Galaxy S8</t>
        </is>
      </c>
      <c r="G13" s="16" t="n">
        <v>6</v>
      </c>
      <c r="H13" s="17" t="n">
        <v>599</v>
      </c>
      <c r="I13" s="17" t="n">
        <v>3594</v>
      </c>
    </row>
    <row r="14">
      <c r="B14" s="15" t="n">
        <v>42749</v>
      </c>
      <c r="C14" t="inlineStr">
        <is>
          <t>Graz</t>
        </is>
      </c>
      <c r="D14" t="inlineStr">
        <is>
          <t>Huber</t>
        </is>
      </c>
      <c r="E14" t="inlineStr">
        <is>
          <t>Samsung</t>
        </is>
      </c>
      <c r="F14" t="inlineStr">
        <is>
          <t>Galaxy S8</t>
        </is>
      </c>
      <c r="G14" s="16" t="n">
        <v>3</v>
      </c>
      <c r="H14" s="17" t="n">
        <v>599</v>
      </c>
      <c r="I14" s="17" t="n">
        <v>1797</v>
      </c>
    </row>
    <row r="15">
      <c r="B15" s="15" t="n">
        <v>42749</v>
      </c>
      <c r="C15" t="inlineStr">
        <is>
          <t>Salzburg</t>
        </is>
      </c>
      <c r="D15" t="inlineStr">
        <is>
          <t>Hoffmann</t>
        </is>
      </c>
      <c r="E15" t="inlineStr">
        <is>
          <t>Apple</t>
        </is>
      </c>
      <c r="F15" t="inlineStr">
        <is>
          <t>iPhone X</t>
        </is>
      </c>
      <c r="G15" s="16" t="n">
        <v>7</v>
      </c>
      <c r="H15" s="17" t="n">
        <v>1149</v>
      </c>
      <c r="I15" s="17" t="n">
        <v>8043</v>
      </c>
    </row>
    <row r="16">
      <c r="B16" s="15" t="n">
        <v>42758</v>
      </c>
      <c r="C16" t="inlineStr">
        <is>
          <t>Graz</t>
        </is>
      </c>
      <c r="D16" t="inlineStr">
        <is>
          <t>Berger</t>
        </is>
      </c>
      <c r="E16" t="inlineStr">
        <is>
          <t>Samsung</t>
        </is>
      </c>
      <c r="F16" t="inlineStr">
        <is>
          <t>Galaxy S9</t>
        </is>
      </c>
      <c r="G16" s="16" t="n">
        <v>12</v>
      </c>
      <c r="H16" s="17" t="n">
        <v>849</v>
      </c>
      <c r="I16" s="17" t="n">
        <v>10188</v>
      </c>
    </row>
    <row r="17">
      <c r="B17" s="15" t="n">
        <v>42759</v>
      </c>
      <c r="C17" t="inlineStr">
        <is>
          <t>Linz</t>
        </is>
      </c>
      <c r="D17" t="inlineStr">
        <is>
          <t>Steiner</t>
        </is>
      </c>
      <c r="E17" t="inlineStr">
        <is>
          <t>Huawei</t>
        </is>
      </c>
      <c r="F17" t="inlineStr">
        <is>
          <t>MediaPad</t>
        </is>
      </c>
      <c r="G17" s="16" t="n">
        <v>2</v>
      </c>
      <c r="H17" s="17" t="n">
        <v>269</v>
      </c>
      <c r="I17" s="17" t="n">
        <v>538</v>
      </c>
    </row>
    <row r="18">
      <c r="B18" s="15" t="n">
        <v>42759</v>
      </c>
      <c r="C18" t="inlineStr">
        <is>
          <t>Salzburg</t>
        </is>
      </c>
      <c r="D18" t="inlineStr">
        <is>
          <t>Steiner</t>
        </is>
      </c>
      <c r="E18" t="inlineStr">
        <is>
          <t>Apple</t>
        </is>
      </c>
      <c r="F18" t="inlineStr">
        <is>
          <t>iPhone 8</t>
        </is>
      </c>
      <c r="G18" s="16" t="n">
        <v>2</v>
      </c>
      <c r="H18" s="17" t="n">
        <v>649</v>
      </c>
      <c r="I18" s="17" t="n">
        <v>1298</v>
      </c>
    </row>
    <row r="19">
      <c r="B19" s="15" t="n">
        <v>42759</v>
      </c>
      <c r="C19" t="inlineStr">
        <is>
          <t>Linz</t>
        </is>
      </c>
      <c r="D19" t="inlineStr">
        <is>
          <t>Berger</t>
        </is>
      </c>
      <c r="E19" t="inlineStr">
        <is>
          <t>Samsung</t>
        </is>
      </c>
      <c r="F19" t="inlineStr">
        <is>
          <t>Galaxy S8</t>
        </is>
      </c>
      <c r="G19" s="16" t="n">
        <v>6</v>
      </c>
      <c r="H19" s="17" t="n">
        <v>599</v>
      </c>
      <c r="I19" s="17" t="n">
        <v>3594</v>
      </c>
    </row>
    <row r="20">
      <c r="B20" s="15" t="n">
        <v>42760</v>
      </c>
      <c r="C20" t="inlineStr">
        <is>
          <t>Graz</t>
        </is>
      </c>
      <c r="D20" t="inlineStr">
        <is>
          <t>Steiner</t>
        </is>
      </c>
      <c r="E20" t="inlineStr">
        <is>
          <t>Sony</t>
        </is>
      </c>
      <c r="F20" t="inlineStr">
        <is>
          <t>Xperia XZ2</t>
        </is>
      </c>
      <c r="G20" s="16" t="n">
        <v>12</v>
      </c>
      <c r="H20" s="17" t="n">
        <v>699</v>
      </c>
      <c r="I20" s="17" t="n">
        <v>8388</v>
      </c>
    </row>
    <row r="21">
      <c r="B21" s="15" t="n">
        <v>42761</v>
      </c>
      <c r="C21" t="inlineStr">
        <is>
          <t>Salzburg</t>
        </is>
      </c>
      <c r="D21" t="inlineStr">
        <is>
          <t>Moser</t>
        </is>
      </c>
      <c r="E21" t="inlineStr">
        <is>
          <t>Sony</t>
        </is>
      </c>
      <c r="F21" t="inlineStr">
        <is>
          <t>Xperia L2</t>
        </is>
      </c>
      <c r="G21" s="16" t="n">
        <v>3</v>
      </c>
      <c r="H21" s="17" t="n">
        <v>249</v>
      </c>
      <c r="I21" s="17" t="n">
        <v>747</v>
      </c>
    </row>
    <row r="22">
      <c r="B22" s="15" t="n">
        <v>42761</v>
      </c>
      <c r="C22" t="inlineStr">
        <is>
          <t>Graz</t>
        </is>
      </c>
      <c r="D22" t="inlineStr">
        <is>
          <t>Wagner</t>
        </is>
      </c>
      <c r="E22" t="inlineStr">
        <is>
          <t>Samsung</t>
        </is>
      </c>
      <c r="F22" t="inlineStr">
        <is>
          <t>Galaxy S9</t>
        </is>
      </c>
      <c r="G22" s="16" t="n">
        <v>5</v>
      </c>
      <c r="H22" s="17" t="n">
        <v>849</v>
      </c>
      <c r="I22" s="17" t="n">
        <v>4245</v>
      </c>
    </row>
    <row r="23">
      <c r="B23" s="15" t="n">
        <v>42762</v>
      </c>
      <c r="C23" t="inlineStr">
        <is>
          <t>Linz</t>
        </is>
      </c>
      <c r="D23" t="inlineStr">
        <is>
          <t>Moser</t>
        </is>
      </c>
      <c r="E23" t="inlineStr">
        <is>
          <t>Samsung</t>
        </is>
      </c>
      <c r="F23" t="inlineStr">
        <is>
          <t>Galaxy S8</t>
        </is>
      </c>
      <c r="G23" s="16" t="n">
        <v>3</v>
      </c>
      <c r="H23" s="17" t="n">
        <v>599</v>
      </c>
      <c r="I23" s="17" t="n">
        <v>1797</v>
      </c>
    </row>
    <row r="24">
      <c r="B24" s="15" t="n">
        <v>42767</v>
      </c>
      <c r="C24" t="inlineStr">
        <is>
          <t>Wien</t>
        </is>
      </c>
      <c r="D24" t="inlineStr">
        <is>
          <t>Wagner</t>
        </is>
      </c>
      <c r="E24" t="inlineStr">
        <is>
          <t>Huawei</t>
        </is>
      </c>
      <c r="F24" t="inlineStr">
        <is>
          <t>P20 Pro</t>
        </is>
      </c>
      <c r="G24" s="16" t="n">
        <v>6</v>
      </c>
      <c r="H24" s="17" t="n">
        <v>799</v>
      </c>
      <c r="I24" s="17" t="n">
        <v>4794</v>
      </c>
    </row>
    <row r="25">
      <c r="B25" s="15" t="n">
        <v>42768</v>
      </c>
      <c r="C25" t="inlineStr">
        <is>
          <t>Wien</t>
        </is>
      </c>
      <c r="D25" t="inlineStr">
        <is>
          <t>Berger</t>
        </is>
      </c>
      <c r="E25" t="inlineStr">
        <is>
          <t>Apple</t>
        </is>
      </c>
      <c r="F25" t="inlineStr">
        <is>
          <t>iPad Air</t>
        </is>
      </c>
      <c r="G25" s="16" t="n">
        <v>8</v>
      </c>
      <c r="H25" s="17" t="n">
        <v>549</v>
      </c>
      <c r="I25" s="17" t="n">
        <v>4392</v>
      </c>
    </row>
    <row r="26">
      <c r="B26" s="15" t="n">
        <v>42769</v>
      </c>
      <c r="C26" t="inlineStr">
        <is>
          <t>Graz</t>
        </is>
      </c>
      <c r="D26" t="inlineStr">
        <is>
          <t>Berger</t>
        </is>
      </c>
      <c r="E26" t="inlineStr">
        <is>
          <t>Samsung</t>
        </is>
      </c>
      <c r="F26" t="inlineStr">
        <is>
          <t>Galaxy S9</t>
        </is>
      </c>
      <c r="G26" s="16" t="n">
        <v>8</v>
      </c>
      <c r="H26" s="17" t="n">
        <v>849</v>
      </c>
      <c r="I26" s="17" t="n">
        <v>6792</v>
      </c>
    </row>
    <row r="27">
      <c r="B27" s="15" t="n">
        <v>42769</v>
      </c>
      <c r="C27" t="inlineStr">
        <is>
          <t>Linz</t>
        </is>
      </c>
      <c r="D27" t="inlineStr">
        <is>
          <t>Wagner</t>
        </is>
      </c>
      <c r="E27" t="inlineStr">
        <is>
          <t>Huawei</t>
        </is>
      </c>
      <c r="F27" t="inlineStr">
        <is>
          <t>P20</t>
        </is>
      </c>
      <c r="G27" s="16" t="n">
        <v>10</v>
      </c>
      <c r="H27" s="17" t="n">
        <v>499</v>
      </c>
      <c r="I27" s="17" t="n">
        <v>4990</v>
      </c>
    </row>
    <row r="28">
      <c r="B28" s="15" t="n">
        <v>42769</v>
      </c>
      <c r="C28" t="inlineStr">
        <is>
          <t>Wien</t>
        </is>
      </c>
      <c r="D28" t="inlineStr">
        <is>
          <t>Steiner</t>
        </is>
      </c>
      <c r="E28" t="inlineStr">
        <is>
          <t>Samsung</t>
        </is>
      </c>
      <c r="F28" t="inlineStr">
        <is>
          <t>Galaxy S9</t>
        </is>
      </c>
      <c r="G28" s="16" t="n">
        <v>10</v>
      </c>
      <c r="H28" s="17" t="n">
        <v>849</v>
      </c>
      <c r="I28" s="17" t="n">
        <v>8490</v>
      </c>
    </row>
    <row r="29">
      <c r="B29" s="15" t="n">
        <v>42771</v>
      </c>
      <c r="C29" t="inlineStr">
        <is>
          <t>Graz</t>
        </is>
      </c>
      <c r="D29" t="inlineStr">
        <is>
          <t>Berger</t>
        </is>
      </c>
      <c r="E29" t="inlineStr">
        <is>
          <t>Huawei</t>
        </is>
      </c>
      <c r="F29" t="inlineStr">
        <is>
          <t>MediaPad</t>
        </is>
      </c>
      <c r="G29" s="16" t="n">
        <v>12</v>
      </c>
      <c r="H29" s="17" t="n">
        <v>269</v>
      </c>
      <c r="I29" s="17" t="n">
        <v>3228</v>
      </c>
    </row>
    <row r="30">
      <c r="B30" s="15" t="n">
        <v>42773</v>
      </c>
      <c r="C30" t="inlineStr">
        <is>
          <t>Linz</t>
        </is>
      </c>
      <c r="D30" t="inlineStr">
        <is>
          <t>Hoffmann</t>
        </is>
      </c>
      <c r="E30" t="inlineStr">
        <is>
          <t>Huawei</t>
        </is>
      </c>
      <c r="F30" t="inlineStr">
        <is>
          <t>P20</t>
        </is>
      </c>
      <c r="G30" s="16" t="n">
        <v>8</v>
      </c>
      <c r="H30" s="17" t="n">
        <v>499</v>
      </c>
      <c r="I30" s="17" t="n">
        <v>3992</v>
      </c>
    </row>
    <row r="31">
      <c r="B31" s="15" t="n">
        <v>42774</v>
      </c>
      <c r="C31" t="inlineStr">
        <is>
          <t>Salzburg</t>
        </is>
      </c>
      <c r="D31" t="inlineStr">
        <is>
          <t>Moser</t>
        </is>
      </c>
      <c r="E31" t="inlineStr">
        <is>
          <t>Samsung</t>
        </is>
      </c>
      <c r="F31" t="inlineStr">
        <is>
          <t>Galaxy S9</t>
        </is>
      </c>
      <c r="G31" s="16" t="n">
        <v>9</v>
      </c>
      <c r="H31" s="17" t="n">
        <v>849</v>
      </c>
      <c r="I31" s="17" t="n">
        <v>7641</v>
      </c>
    </row>
    <row r="32">
      <c r="B32" s="15" t="n">
        <v>42775</v>
      </c>
      <c r="C32" t="inlineStr">
        <is>
          <t>Wien</t>
        </is>
      </c>
      <c r="D32" t="inlineStr">
        <is>
          <t>Moser</t>
        </is>
      </c>
      <c r="E32" t="inlineStr">
        <is>
          <t>Sony</t>
        </is>
      </c>
      <c r="F32" t="inlineStr">
        <is>
          <t>Xperia L2</t>
        </is>
      </c>
      <c r="G32" s="16" t="n">
        <v>7</v>
      </c>
      <c r="H32" s="17" t="n">
        <v>249</v>
      </c>
      <c r="I32" s="17" t="n">
        <v>1743</v>
      </c>
    </row>
    <row r="33">
      <c r="B33" s="15" t="n">
        <v>42775</v>
      </c>
      <c r="C33" t="inlineStr">
        <is>
          <t>Graz</t>
        </is>
      </c>
      <c r="D33" t="inlineStr">
        <is>
          <t>Huber</t>
        </is>
      </c>
      <c r="E33" t="inlineStr">
        <is>
          <t>Huawei</t>
        </is>
      </c>
      <c r="F33" t="inlineStr">
        <is>
          <t>P20 Pro</t>
        </is>
      </c>
      <c r="G33" s="16" t="n">
        <v>7</v>
      </c>
      <c r="H33" s="17" t="n">
        <v>799</v>
      </c>
      <c r="I33" s="17" t="n">
        <v>5593</v>
      </c>
    </row>
    <row r="34">
      <c r="B34" s="15" t="n">
        <v>42778</v>
      </c>
      <c r="C34" t="inlineStr">
        <is>
          <t>Graz</t>
        </is>
      </c>
      <c r="D34" t="inlineStr">
        <is>
          <t>Berger</t>
        </is>
      </c>
      <c r="E34" t="inlineStr">
        <is>
          <t>Samsung</t>
        </is>
      </c>
      <c r="F34" t="inlineStr">
        <is>
          <t>Galaxy Tab</t>
        </is>
      </c>
      <c r="G34" s="16" t="n">
        <v>6</v>
      </c>
      <c r="H34" s="17" t="n">
        <v>379</v>
      </c>
      <c r="I34" s="17" t="n">
        <v>2274</v>
      </c>
    </row>
    <row r="35">
      <c r="B35" s="15" t="n">
        <v>42779</v>
      </c>
      <c r="C35" t="inlineStr">
        <is>
          <t>Linz</t>
        </is>
      </c>
      <c r="D35" t="inlineStr">
        <is>
          <t>Steiner</t>
        </is>
      </c>
      <c r="E35" t="inlineStr">
        <is>
          <t>Apple</t>
        </is>
      </c>
      <c r="F35" t="inlineStr">
        <is>
          <t>MacBook Air</t>
        </is>
      </c>
      <c r="G35" s="16" t="n">
        <v>9</v>
      </c>
      <c r="H35" s="17" t="n">
        <v>1199</v>
      </c>
      <c r="I35" s="17" t="n">
        <v>10791</v>
      </c>
    </row>
    <row r="36">
      <c r="B36" s="15" t="n">
        <v>42779</v>
      </c>
      <c r="C36" t="inlineStr">
        <is>
          <t>Graz</t>
        </is>
      </c>
      <c r="D36" t="inlineStr">
        <is>
          <t>Huber</t>
        </is>
      </c>
      <c r="E36" t="inlineStr">
        <is>
          <t>Samsung</t>
        </is>
      </c>
      <c r="F36" t="inlineStr">
        <is>
          <t>Galaxy Tab</t>
        </is>
      </c>
      <c r="G36" s="16" t="n">
        <v>2</v>
      </c>
      <c r="H36" s="17" t="n">
        <v>379</v>
      </c>
      <c r="I36" s="17" t="n">
        <v>758</v>
      </c>
    </row>
    <row r="37">
      <c r="B37" s="15" t="n">
        <v>42781</v>
      </c>
      <c r="C37" t="inlineStr">
        <is>
          <t>Salzburg</t>
        </is>
      </c>
      <c r="D37" t="inlineStr">
        <is>
          <t>Steiner</t>
        </is>
      </c>
      <c r="E37" t="inlineStr">
        <is>
          <t>Huawei</t>
        </is>
      </c>
      <c r="F37" t="inlineStr">
        <is>
          <t>MediaPad</t>
        </is>
      </c>
      <c r="G37" s="16" t="n">
        <v>11</v>
      </c>
      <c r="H37" s="17" t="n">
        <v>269</v>
      </c>
      <c r="I37" s="17" t="n">
        <v>2959</v>
      </c>
    </row>
    <row r="38">
      <c r="B38" s="15" t="n">
        <v>42784</v>
      </c>
      <c r="C38" t="inlineStr">
        <is>
          <t>Wien</t>
        </is>
      </c>
      <c r="D38" t="inlineStr">
        <is>
          <t>Hoffmann</t>
        </is>
      </c>
      <c r="E38" t="inlineStr">
        <is>
          <t>Apple</t>
        </is>
      </c>
      <c r="F38" t="inlineStr">
        <is>
          <t>MacBook Air</t>
        </is>
      </c>
      <c r="G38" s="16" t="n">
        <v>8</v>
      </c>
      <c r="H38" s="17" t="n">
        <v>1199</v>
      </c>
      <c r="I38" s="17" t="n">
        <v>9592</v>
      </c>
    </row>
    <row r="39">
      <c r="B39" s="15" t="n">
        <v>42786</v>
      </c>
      <c r="C39" t="inlineStr">
        <is>
          <t>Wien</t>
        </is>
      </c>
      <c r="D39" t="inlineStr">
        <is>
          <t>Berger</t>
        </is>
      </c>
      <c r="E39" t="inlineStr">
        <is>
          <t>Apple</t>
        </is>
      </c>
      <c r="F39" t="inlineStr">
        <is>
          <t>iPhone X</t>
        </is>
      </c>
      <c r="G39" s="16" t="n">
        <v>6</v>
      </c>
      <c r="H39" s="17" t="n">
        <v>1149</v>
      </c>
      <c r="I39" s="17" t="n">
        <v>6894</v>
      </c>
    </row>
    <row r="40">
      <c r="B40" s="15" t="n">
        <v>42786</v>
      </c>
      <c r="C40" t="inlineStr">
        <is>
          <t>Wien</t>
        </is>
      </c>
      <c r="D40" t="inlineStr">
        <is>
          <t>Huber</t>
        </is>
      </c>
      <c r="E40" t="inlineStr">
        <is>
          <t>Sony</t>
        </is>
      </c>
      <c r="F40" t="inlineStr">
        <is>
          <t>Xperia XZ2</t>
        </is>
      </c>
      <c r="G40" s="16" t="n">
        <v>10</v>
      </c>
      <c r="H40" s="17" t="n">
        <v>699</v>
      </c>
      <c r="I40" s="17" t="n">
        <v>6990</v>
      </c>
    </row>
    <row r="41">
      <c r="B41" s="15" t="n">
        <v>42787</v>
      </c>
      <c r="C41" t="inlineStr">
        <is>
          <t>Linz</t>
        </is>
      </c>
      <c r="D41" t="inlineStr">
        <is>
          <t>Hoffmann</t>
        </is>
      </c>
      <c r="E41" t="inlineStr">
        <is>
          <t>Apple</t>
        </is>
      </c>
      <c r="F41" t="inlineStr">
        <is>
          <t>iPad Air</t>
        </is>
      </c>
      <c r="G41" s="16" t="n">
        <v>1</v>
      </c>
      <c r="H41" s="17" t="n">
        <v>549</v>
      </c>
      <c r="I41" s="17" t="n">
        <v>549</v>
      </c>
    </row>
    <row r="42">
      <c r="B42" s="15" t="n">
        <v>42788</v>
      </c>
      <c r="C42" t="inlineStr">
        <is>
          <t>Wien</t>
        </is>
      </c>
      <c r="D42" t="inlineStr">
        <is>
          <t>Huber</t>
        </is>
      </c>
      <c r="E42" t="inlineStr">
        <is>
          <t>Huawei</t>
        </is>
      </c>
      <c r="F42" t="inlineStr">
        <is>
          <t>P20</t>
        </is>
      </c>
      <c r="G42" s="16" t="n">
        <v>2</v>
      </c>
      <c r="H42" s="17" t="n">
        <v>499</v>
      </c>
      <c r="I42" s="17" t="n">
        <v>998</v>
      </c>
    </row>
    <row r="43">
      <c r="B43" s="15" t="n">
        <v>42790</v>
      </c>
      <c r="C43" t="inlineStr">
        <is>
          <t>Graz</t>
        </is>
      </c>
      <c r="D43" t="inlineStr">
        <is>
          <t>Wagner</t>
        </is>
      </c>
      <c r="E43" t="inlineStr">
        <is>
          <t>Sony</t>
        </is>
      </c>
      <c r="F43" t="inlineStr">
        <is>
          <t>Xperia XZ2</t>
        </is>
      </c>
      <c r="G43" s="16" t="n">
        <v>10</v>
      </c>
      <c r="H43" s="17" t="n">
        <v>699</v>
      </c>
      <c r="I43" s="17" t="n">
        <v>6990</v>
      </c>
    </row>
    <row r="44">
      <c r="B44" s="15" t="n">
        <v>42791</v>
      </c>
      <c r="C44" t="inlineStr">
        <is>
          <t>Graz</t>
        </is>
      </c>
      <c r="D44" t="inlineStr">
        <is>
          <t>Hoffmann</t>
        </is>
      </c>
      <c r="E44" t="inlineStr">
        <is>
          <t>Apple</t>
        </is>
      </c>
      <c r="F44" t="inlineStr">
        <is>
          <t>iPhone 8</t>
        </is>
      </c>
      <c r="G44" s="16" t="n">
        <v>6</v>
      </c>
      <c r="H44" s="17" t="n">
        <v>649</v>
      </c>
      <c r="I44" s="17" t="n">
        <v>3894</v>
      </c>
    </row>
    <row r="45">
      <c r="B45" s="15" t="n">
        <v>42792</v>
      </c>
      <c r="C45" t="inlineStr">
        <is>
          <t>Wien</t>
        </is>
      </c>
      <c r="D45" t="inlineStr">
        <is>
          <t>Steiner</t>
        </is>
      </c>
      <c r="E45" t="inlineStr">
        <is>
          <t>Sony</t>
        </is>
      </c>
      <c r="F45" t="inlineStr">
        <is>
          <t>Xperia XZ2</t>
        </is>
      </c>
      <c r="G45" s="16" t="n">
        <v>1</v>
      </c>
      <c r="H45" s="17" t="n">
        <v>699</v>
      </c>
      <c r="I45" s="17" t="n">
        <v>699</v>
      </c>
    </row>
    <row r="46">
      <c r="B46" s="15" t="n">
        <v>42795</v>
      </c>
      <c r="C46" t="inlineStr">
        <is>
          <t>Linz</t>
        </is>
      </c>
      <c r="D46" t="inlineStr">
        <is>
          <t>Wagner</t>
        </is>
      </c>
      <c r="E46" t="inlineStr">
        <is>
          <t>Samsung</t>
        </is>
      </c>
      <c r="F46" t="inlineStr">
        <is>
          <t>Galaxy S8</t>
        </is>
      </c>
      <c r="G46" s="16" t="n">
        <v>9</v>
      </c>
      <c r="H46" s="17" t="n">
        <v>599</v>
      </c>
      <c r="I46" s="17" t="n">
        <v>5391</v>
      </c>
    </row>
    <row r="47">
      <c r="B47" s="15" t="n">
        <v>42796</v>
      </c>
      <c r="C47" t="inlineStr">
        <is>
          <t>Salzburg</t>
        </is>
      </c>
      <c r="D47" t="inlineStr">
        <is>
          <t>Steiner</t>
        </is>
      </c>
      <c r="E47" t="inlineStr">
        <is>
          <t>Samsung</t>
        </is>
      </c>
      <c r="F47" t="inlineStr">
        <is>
          <t>Galaxy S9</t>
        </is>
      </c>
      <c r="G47" s="16" t="n">
        <v>12</v>
      </c>
      <c r="H47" s="17" t="n">
        <v>849</v>
      </c>
      <c r="I47" s="17" t="n">
        <v>10188</v>
      </c>
    </row>
    <row r="48">
      <c r="B48" s="15" t="n">
        <v>42796</v>
      </c>
      <c r="C48" t="inlineStr">
        <is>
          <t>Salzburg</t>
        </is>
      </c>
      <c r="D48" t="inlineStr">
        <is>
          <t>Berger</t>
        </is>
      </c>
      <c r="E48" t="inlineStr">
        <is>
          <t>Samsung</t>
        </is>
      </c>
      <c r="F48" t="inlineStr">
        <is>
          <t>Galaxy S8</t>
        </is>
      </c>
      <c r="G48" s="16" t="n">
        <v>6</v>
      </c>
      <c r="H48" s="17" t="n">
        <v>599</v>
      </c>
      <c r="I48" s="17" t="n">
        <v>3594</v>
      </c>
    </row>
    <row r="49">
      <c r="B49" s="15" t="n">
        <v>42796</v>
      </c>
      <c r="C49" t="inlineStr">
        <is>
          <t>Linz</t>
        </is>
      </c>
      <c r="D49" t="inlineStr">
        <is>
          <t>Berger</t>
        </is>
      </c>
      <c r="E49" t="inlineStr">
        <is>
          <t>Sony</t>
        </is>
      </c>
      <c r="F49" t="inlineStr">
        <is>
          <t>Xperia XZ2</t>
        </is>
      </c>
      <c r="G49" s="16" t="n">
        <v>12</v>
      </c>
      <c r="H49" s="17" t="n">
        <v>699</v>
      </c>
      <c r="I49" s="17" t="n">
        <v>8388</v>
      </c>
    </row>
    <row r="50">
      <c r="B50" s="15" t="n">
        <v>42800</v>
      </c>
      <c r="C50" t="inlineStr">
        <is>
          <t>Wien</t>
        </is>
      </c>
      <c r="D50" t="inlineStr">
        <is>
          <t>Moser</t>
        </is>
      </c>
      <c r="E50" t="inlineStr">
        <is>
          <t>Sony</t>
        </is>
      </c>
      <c r="F50" t="inlineStr">
        <is>
          <t>Xperia XZ2</t>
        </is>
      </c>
      <c r="G50" s="16" t="n">
        <v>7</v>
      </c>
      <c r="H50" s="17" t="n">
        <v>699</v>
      </c>
      <c r="I50" s="17" t="n">
        <v>4893</v>
      </c>
    </row>
    <row r="51">
      <c r="B51" s="15" t="n">
        <v>42802</v>
      </c>
      <c r="C51" t="inlineStr">
        <is>
          <t>Graz</t>
        </is>
      </c>
      <c r="D51" t="inlineStr">
        <is>
          <t>Moser</t>
        </is>
      </c>
      <c r="E51" t="inlineStr">
        <is>
          <t>Apple</t>
        </is>
      </c>
      <c r="F51" t="inlineStr">
        <is>
          <t>iPhone 8</t>
        </is>
      </c>
      <c r="G51" s="16" t="n">
        <v>11</v>
      </c>
      <c r="H51" s="17" t="n">
        <v>649</v>
      </c>
      <c r="I51" s="17" t="n">
        <v>7139</v>
      </c>
    </row>
    <row r="52">
      <c r="B52" s="15" t="n">
        <v>42804</v>
      </c>
      <c r="C52" t="inlineStr">
        <is>
          <t>Linz</t>
        </is>
      </c>
      <c r="D52" t="inlineStr">
        <is>
          <t>Berger</t>
        </is>
      </c>
      <c r="E52" t="inlineStr">
        <is>
          <t>Sony</t>
        </is>
      </c>
      <c r="F52" t="inlineStr">
        <is>
          <t>Xperia XZ2</t>
        </is>
      </c>
      <c r="G52" s="16" t="n">
        <v>6</v>
      </c>
      <c r="H52" s="17" t="n">
        <v>699</v>
      </c>
      <c r="I52" s="17" t="n">
        <v>4194</v>
      </c>
    </row>
    <row r="53">
      <c r="B53" s="15" t="n">
        <v>42805</v>
      </c>
      <c r="C53" t="inlineStr">
        <is>
          <t>Salzburg</t>
        </is>
      </c>
      <c r="D53" t="inlineStr">
        <is>
          <t>Steiner</t>
        </is>
      </c>
      <c r="E53" t="inlineStr">
        <is>
          <t>Samsung</t>
        </is>
      </c>
      <c r="F53" t="inlineStr">
        <is>
          <t>Galaxy S9</t>
        </is>
      </c>
      <c r="G53" s="16" t="n">
        <v>1</v>
      </c>
      <c r="H53" s="17" t="n">
        <v>849</v>
      </c>
      <c r="I53" s="17" t="n">
        <v>849</v>
      </c>
    </row>
    <row r="54">
      <c r="B54" s="15" t="n">
        <v>42807</v>
      </c>
      <c r="C54" t="inlineStr">
        <is>
          <t>Graz</t>
        </is>
      </c>
      <c r="D54" t="inlineStr">
        <is>
          <t>Moser</t>
        </is>
      </c>
      <c r="E54" t="inlineStr">
        <is>
          <t>Huawei</t>
        </is>
      </c>
      <c r="F54" t="inlineStr">
        <is>
          <t>P20 Pro</t>
        </is>
      </c>
      <c r="G54" s="16" t="n">
        <v>10</v>
      </c>
      <c r="H54" s="17" t="n">
        <v>799</v>
      </c>
      <c r="I54" s="17" t="n">
        <v>7990</v>
      </c>
    </row>
    <row r="55">
      <c r="B55" s="15" t="n">
        <v>42809</v>
      </c>
      <c r="C55" t="inlineStr">
        <is>
          <t>Salzburg</t>
        </is>
      </c>
      <c r="D55" t="inlineStr">
        <is>
          <t>Steiner</t>
        </is>
      </c>
      <c r="E55" t="inlineStr">
        <is>
          <t>Sony</t>
        </is>
      </c>
      <c r="F55" t="inlineStr">
        <is>
          <t>Xperia L2</t>
        </is>
      </c>
      <c r="G55" s="16" t="n">
        <v>12</v>
      </c>
      <c r="H55" s="17" t="n">
        <v>249</v>
      </c>
      <c r="I55" s="17" t="n">
        <v>2988</v>
      </c>
    </row>
    <row r="56">
      <c r="B56" s="15" t="n">
        <v>42809</v>
      </c>
      <c r="C56" t="inlineStr">
        <is>
          <t>Graz</t>
        </is>
      </c>
      <c r="D56" t="inlineStr">
        <is>
          <t>Huber</t>
        </is>
      </c>
      <c r="E56" t="inlineStr">
        <is>
          <t>Apple</t>
        </is>
      </c>
      <c r="F56" t="inlineStr">
        <is>
          <t>iPhone X</t>
        </is>
      </c>
      <c r="G56" s="16" t="n">
        <v>6</v>
      </c>
      <c r="H56" s="17" t="n">
        <v>1149</v>
      </c>
      <c r="I56" s="17" t="n">
        <v>6894</v>
      </c>
    </row>
    <row r="57">
      <c r="B57" s="15" t="n">
        <v>42809</v>
      </c>
      <c r="C57" t="inlineStr">
        <is>
          <t>Linz</t>
        </is>
      </c>
      <c r="D57" t="inlineStr">
        <is>
          <t>Wagner</t>
        </is>
      </c>
      <c r="E57" t="inlineStr">
        <is>
          <t>Samsung</t>
        </is>
      </c>
      <c r="F57" t="inlineStr">
        <is>
          <t>Galaxy S8</t>
        </is>
      </c>
      <c r="G57" s="16" t="n">
        <v>8</v>
      </c>
      <c r="H57" s="17" t="n">
        <v>599</v>
      </c>
      <c r="I57" s="17" t="n">
        <v>4792</v>
      </c>
    </row>
    <row r="58">
      <c r="B58" s="15" t="n">
        <v>42811</v>
      </c>
      <c r="C58" t="inlineStr">
        <is>
          <t>Wien</t>
        </is>
      </c>
      <c r="D58" t="inlineStr">
        <is>
          <t>Hoffmann</t>
        </is>
      </c>
      <c r="E58" t="inlineStr">
        <is>
          <t>Apple</t>
        </is>
      </c>
      <c r="F58" t="inlineStr">
        <is>
          <t>MacBook Air</t>
        </is>
      </c>
      <c r="G58" s="16" t="n">
        <v>4</v>
      </c>
      <c r="H58" s="17" t="n">
        <v>1199</v>
      </c>
      <c r="I58" s="17" t="n">
        <v>4796</v>
      </c>
    </row>
    <row r="59">
      <c r="B59" s="15" t="n">
        <v>42812</v>
      </c>
      <c r="C59" t="inlineStr">
        <is>
          <t>Salzburg</t>
        </is>
      </c>
      <c r="D59" t="inlineStr">
        <is>
          <t>Berger</t>
        </is>
      </c>
      <c r="E59" t="inlineStr">
        <is>
          <t>Samsung</t>
        </is>
      </c>
      <c r="F59" t="inlineStr">
        <is>
          <t>Galaxy S8</t>
        </is>
      </c>
      <c r="G59" s="16" t="n">
        <v>9</v>
      </c>
      <c r="H59" s="17" t="n">
        <v>599</v>
      </c>
      <c r="I59" s="17" t="n">
        <v>5391</v>
      </c>
    </row>
    <row r="60">
      <c r="B60" s="15" t="n">
        <v>42813</v>
      </c>
      <c r="C60" t="inlineStr">
        <is>
          <t>Wien</t>
        </is>
      </c>
      <c r="D60" t="inlineStr">
        <is>
          <t>Hoffmann</t>
        </is>
      </c>
      <c r="E60" t="inlineStr">
        <is>
          <t>Apple</t>
        </is>
      </c>
      <c r="F60" t="inlineStr">
        <is>
          <t>iPhone 8</t>
        </is>
      </c>
      <c r="G60" s="16" t="n">
        <v>7</v>
      </c>
      <c r="H60" s="17" t="n">
        <v>649</v>
      </c>
      <c r="I60" s="17" t="n">
        <v>4543</v>
      </c>
    </row>
    <row r="61">
      <c r="B61" s="15" t="n">
        <v>42813</v>
      </c>
      <c r="C61" t="inlineStr">
        <is>
          <t>Salzburg</t>
        </is>
      </c>
      <c r="D61" t="inlineStr">
        <is>
          <t>Berger</t>
        </is>
      </c>
      <c r="E61" t="inlineStr">
        <is>
          <t>Apple</t>
        </is>
      </c>
      <c r="F61" t="inlineStr">
        <is>
          <t>MacBook Air</t>
        </is>
      </c>
      <c r="G61" s="16" t="n">
        <v>6</v>
      </c>
      <c r="H61" s="17" t="n">
        <v>1199</v>
      </c>
      <c r="I61" s="17" t="n">
        <v>7194</v>
      </c>
    </row>
    <row r="62">
      <c r="B62" s="15" t="n">
        <v>42815</v>
      </c>
      <c r="C62" t="inlineStr">
        <is>
          <t>Salzburg</t>
        </is>
      </c>
      <c r="D62" t="inlineStr">
        <is>
          <t>Moser</t>
        </is>
      </c>
      <c r="E62" t="inlineStr">
        <is>
          <t>Sony</t>
        </is>
      </c>
      <c r="F62" t="inlineStr">
        <is>
          <t>Xperia L2</t>
        </is>
      </c>
      <c r="G62" s="16" t="n">
        <v>9</v>
      </c>
      <c r="H62" s="17" t="n">
        <v>249</v>
      </c>
      <c r="I62" s="17" t="n">
        <v>2241</v>
      </c>
    </row>
    <row r="63">
      <c r="B63" s="15" t="n">
        <v>42817</v>
      </c>
      <c r="C63" t="inlineStr">
        <is>
          <t>Wien</t>
        </is>
      </c>
      <c r="D63" t="inlineStr">
        <is>
          <t>Huber</t>
        </is>
      </c>
      <c r="E63" t="inlineStr">
        <is>
          <t>Huawei</t>
        </is>
      </c>
      <c r="F63" t="inlineStr">
        <is>
          <t>MediaPad</t>
        </is>
      </c>
      <c r="G63" s="16" t="n">
        <v>11</v>
      </c>
      <c r="H63" s="17" t="n">
        <v>269</v>
      </c>
      <c r="I63" s="17" t="n">
        <v>2959</v>
      </c>
    </row>
    <row r="64">
      <c r="B64" s="15" t="n">
        <v>42817</v>
      </c>
      <c r="C64" t="inlineStr">
        <is>
          <t>Linz</t>
        </is>
      </c>
      <c r="D64" t="inlineStr">
        <is>
          <t>Berger</t>
        </is>
      </c>
      <c r="E64" t="inlineStr">
        <is>
          <t>Sony</t>
        </is>
      </c>
      <c r="F64" t="inlineStr">
        <is>
          <t>Xperia XZ2</t>
        </is>
      </c>
      <c r="G64" s="16" t="n">
        <v>7</v>
      </c>
      <c r="H64" s="17" t="n">
        <v>699</v>
      </c>
      <c r="I64" s="17" t="n">
        <v>4893</v>
      </c>
    </row>
    <row r="65">
      <c r="B65" s="15" t="n">
        <v>42818</v>
      </c>
      <c r="C65" t="inlineStr">
        <is>
          <t>Linz</t>
        </is>
      </c>
      <c r="D65" t="inlineStr">
        <is>
          <t>Berger</t>
        </is>
      </c>
      <c r="E65" t="inlineStr">
        <is>
          <t>Samsung</t>
        </is>
      </c>
      <c r="F65" t="inlineStr">
        <is>
          <t>Galaxy S8</t>
        </is>
      </c>
      <c r="G65" s="16" t="n">
        <v>12</v>
      </c>
      <c r="H65" s="17" t="n">
        <v>599</v>
      </c>
      <c r="I65" s="17" t="n">
        <v>7188</v>
      </c>
    </row>
    <row r="66">
      <c r="B66" s="15" t="n">
        <v>42818</v>
      </c>
      <c r="C66" t="inlineStr">
        <is>
          <t>Linz</t>
        </is>
      </c>
      <c r="D66" t="inlineStr">
        <is>
          <t>Moser</t>
        </is>
      </c>
      <c r="E66" t="inlineStr">
        <is>
          <t>Apple</t>
        </is>
      </c>
      <c r="F66" t="inlineStr">
        <is>
          <t>MacBook Air</t>
        </is>
      </c>
      <c r="G66" s="16" t="n">
        <v>12</v>
      </c>
      <c r="H66" s="17" t="n">
        <v>1199</v>
      </c>
      <c r="I66" s="17" t="n">
        <v>14388</v>
      </c>
    </row>
    <row r="67">
      <c r="B67" s="15" t="n">
        <v>42821</v>
      </c>
      <c r="C67" t="inlineStr">
        <is>
          <t>Linz</t>
        </is>
      </c>
      <c r="D67" t="inlineStr">
        <is>
          <t>Wagner</t>
        </is>
      </c>
      <c r="E67" t="inlineStr">
        <is>
          <t>Apple</t>
        </is>
      </c>
      <c r="F67" t="inlineStr">
        <is>
          <t>iPad Air</t>
        </is>
      </c>
      <c r="G67" s="16" t="n">
        <v>8</v>
      </c>
      <c r="H67" s="17" t="n">
        <v>549</v>
      </c>
      <c r="I67" s="17" t="n">
        <v>4392</v>
      </c>
    </row>
    <row r="68">
      <c r="B68" s="15" t="n">
        <v>42821</v>
      </c>
      <c r="C68" t="inlineStr">
        <is>
          <t>Linz</t>
        </is>
      </c>
      <c r="D68" t="inlineStr">
        <is>
          <t>Hoffmann</t>
        </is>
      </c>
      <c r="E68" t="inlineStr">
        <is>
          <t>Samsung</t>
        </is>
      </c>
      <c r="F68" t="inlineStr">
        <is>
          <t>Galaxy Tab</t>
        </is>
      </c>
      <c r="G68" s="16" t="n">
        <v>8</v>
      </c>
      <c r="H68" s="17" t="n">
        <v>379</v>
      </c>
      <c r="I68" s="17" t="n">
        <v>3032</v>
      </c>
    </row>
    <row r="69">
      <c r="B69" s="15" t="n">
        <v>42821</v>
      </c>
      <c r="C69" t="inlineStr">
        <is>
          <t>Salzburg</t>
        </is>
      </c>
      <c r="D69" t="inlineStr">
        <is>
          <t>Moser</t>
        </is>
      </c>
      <c r="E69" t="inlineStr">
        <is>
          <t>Huawei</t>
        </is>
      </c>
      <c r="F69" t="inlineStr">
        <is>
          <t>P20 Pro</t>
        </is>
      </c>
      <c r="G69" s="16" t="n">
        <v>7</v>
      </c>
      <c r="H69" s="17" t="n">
        <v>799</v>
      </c>
      <c r="I69" s="17" t="n">
        <v>5593</v>
      </c>
    </row>
    <row r="70">
      <c r="B70" s="15" t="n">
        <v>42829</v>
      </c>
      <c r="C70" t="inlineStr">
        <is>
          <t>Linz</t>
        </is>
      </c>
      <c r="D70" t="inlineStr">
        <is>
          <t>Hoffmann</t>
        </is>
      </c>
      <c r="E70" t="inlineStr">
        <is>
          <t>Sony</t>
        </is>
      </c>
      <c r="F70" t="inlineStr">
        <is>
          <t>Xperia XZ2</t>
        </is>
      </c>
      <c r="G70" s="16" t="n">
        <v>8</v>
      </c>
      <c r="H70" s="17" t="n">
        <v>699</v>
      </c>
      <c r="I70" s="17" t="n">
        <v>5592</v>
      </c>
    </row>
    <row r="71">
      <c r="B71" s="15" t="n">
        <v>42831</v>
      </c>
      <c r="C71" t="inlineStr">
        <is>
          <t>Linz</t>
        </is>
      </c>
      <c r="D71" t="inlineStr">
        <is>
          <t>Hoffmann</t>
        </is>
      </c>
      <c r="E71" t="inlineStr">
        <is>
          <t>Sony</t>
        </is>
      </c>
      <c r="F71" t="inlineStr">
        <is>
          <t>Xperia L2</t>
        </is>
      </c>
      <c r="G71" s="16" t="n">
        <v>8</v>
      </c>
      <c r="H71" s="17" t="n">
        <v>249</v>
      </c>
      <c r="I71" s="17" t="n">
        <v>1992</v>
      </c>
    </row>
    <row r="72">
      <c r="B72" s="15" t="n">
        <v>42833</v>
      </c>
      <c r="C72" t="inlineStr">
        <is>
          <t>Salzburg</t>
        </is>
      </c>
      <c r="D72" t="inlineStr">
        <is>
          <t>Steiner</t>
        </is>
      </c>
      <c r="E72" t="inlineStr">
        <is>
          <t>Huawei</t>
        </is>
      </c>
      <c r="F72" t="inlineStr">
        <is>
          <t>P20 Pro</t>
        </is>
      </c>
      <c r="G72" s="16" t="n">
        <v>4</v>
      </c>
      <c r="H72" s="17" t="n">
        <v>799</v>
      </c>
      <c r="I72" s="17" t="n">
        <v>3196</v>
      </c>
    </row>
    <row r="73">
      <c r="B73" s="15" t="n">
        <v>42833</v>
      </c>
      <c r="C73" t="inlineStr">
        <is>
          <t>Salzburg</t>
        </is>
      </c>
      <c r="D73" t="inlineStr">
        <is>
          <t>Berger</t>
        </is>
      </c>
      <c r="E73" t="inlineStr">
        <is>
          <t>Apple</t>
        </is>
      </c>
      <c r="F73" t="inlineStr">
        <is>
          <t>iPhone X</t>
        </is>
      </c>
      <c r="G73" s="16" t="n">
        <v>4</v>
      </c>
      <c r="H73" s="17" t="n">
        <v>1149</v>
      </c>
      <c r="I73" s="17" t="n">
        <v>4596</v>
      </c>
    </row>
    <row r="74">
      <c r="B74" s="15" t="n">
        <v>42834</v>
      </c>
      <c r="C74" t="inlineStr">
        <is>
          <t>Linz</t>
        </is>
      </c>
      <c r="D74" t="inlineStr">
        <is>
          <t>Steiner</t>
        </is>
      </c>
      <c r="E74" t="inlineStr">
        <is>
          <t>Samsung</t>
        </is>
      </c>
      <c r="F74" t="inlineStr">
        <is>
          <t>Galaxy S9</t>
        </is>
      </c>
      <c r="G74" s="16" t="n">
        <v>10</v>
      </c>
      <c r="H74" s="17" t="n">
        <v>849</v>
      </c>
      <c r="I74" s="17" t="n">
        <v>8490</v>
      </c>
    </row>
    <row r="75">
      <c r="B75" s="15" t="n">
        <v>42834</v>
      </c>
      <c r="C75" t="inlineStr">
        <is>
          <t>Wien</t>
        </is>
      </c>
      <c r="D75" t="inlineStr">
        <is>
          <t>Hoffmann</t>
        </is>
      </c>
      <c r="E75" t="inlineStr">
        <is>
          <t>Samsung</t>
        </is>
      </c>
      <c r="F75" t="inlineStr">
        <is>
          <t>Galaxy Tab</t>
        </is>
      </c>
      <c r="G75" s="16" t="n">
        <v>1</v>
      </c>
      <c r="H75" s="17" t="n">
        <v>379</v>
      </c>
      <c r="I75" s="17" t="n">
        <v>379</v>
      </c>
    </row>
    <row r="76">
      <c r="B76" s="15" t="n">
        <v>42840</v>
      </c>
      <c r="C76" t="inlineStr">
        <is>
          <t>Linz</t>
        </is>
      </c>
      <c r="D76" t="inlineStr">
        <is>
          <t>Huber</t>
        </is>
      </c>
      <c r="E76" t="inlineStr">
        <is>
          <t>Samsung</t>
        </is>
      </c>
      <c r="F76" t="inlineStr">
        <is>
          <t>Galaxy Tab</t>
        </is>
      </c>
      <c r="G76" s="16" t="n">
        <v>12</v>
      </c>
      <c r="H76" s="17" t="n">
        <v>379</v>
      </c>
      <c r="I76" s="17" t="n">
        <v>4548</v>
      </c>
    </row>
    <row r="77">
      <c r="B77" s="15" t="n">
        <v>42840</v>
      </c>
      <c r="C77" t="inlineStr">
        <is>
          <t>Salzburg</t>
        </is>
      </c>
      <c r="D77" t="inlineStr">
        <is>
          <t>Huber</t>
        </is>
      </c>
      <c r="E77" t="inlineStr">
        <is>
          <t>Sony</t>
        </is>
      </c>
      <c r="F77" t="inlineStr">
        <is>
          <t>Xperia L2</t>
        </is>
      </c>
      <c r="G77" s="16" t="n">
        <v>9</v>
      </c>
      <c r="H77" s="17" t="n">
        <v>249</v>
      </c>
      <c r="I77" s="17" t="n">
        <v>2241</v>
      </c>
    </row>
    <row r="78">
      <c r="B78" s="15" t="n">
        <v>42842</v>
      </c>
      <c r="C78" t="inlineStr">
        <is>
          <t>Linz</t>
        </is>
      </c>
      <c r="D78" t="inlineStr">
        <is>
          <t>Wagner</t>
        </is>
      </c>
      <c r="E78" t="inlineStr">
        <is>
          <t>Huawei</t>
        </is>
      </c>
      <c r="F78" t="inlineStr">
        <is>
          <t>MediaPad</t>
        </is>
      </c>
      <c r="G78" s="16" t="n">
        <v>4</v>
      </c>
      <c r="H78" s="17" t="n">
        <v>269</v>
      </c>
      <c r="I78" s="17" t="n">
        <v>1076</v>
      </c>
    </row>
    <row r="79">
      <c r="B79" s="15" t="n">
        <v>42844</v>
      </c>
      <c r="C79" t="inlineStr">
        <is>
          <t>Linz</t>
        </is>
      </c>
      <c r="D79" t="inlineStr">
        <is>
          <t>Berger</t>
        </is>
      </c>
      <c r="E79" t="inlineStr">
        <is>
          <t>Huawei</t>
        </is>
      </c>
      <c r="F79" t="inlineStr">
        <is>
          <t>P20</t>
        </is>
      </c>
      <c r="G79" s="16" t="n">
        <v>1</v>
      </c>
      <c r="H79" s="17" t="n">
        <v>499</v>
      </c>
      <c r="I79" s="17" t="n">
        <v>499</v>
      </c>
    </row>
    <row r="80">
      <c r="B80" s="15" t="n">
        <v>42847</v>
      </c>
      <c r="C80" t="inlineStr">
        <is>
          <t>Graz</t>
        </is>
      </c>
      <c r="D80" t="inlineStr">
        <is>
          <t>Moser</t>
        </is>
      </c>
      <c r="E80" t="inlineStr">
        <is>
          <t>Samsung</t>
        </is>
      </c>
      <c r="F80" t="inlineStr">
        <is>
          <t>Galaxy S8</t>
        </is>
      </c>
      <c r="G80" s="16" t="n">
        <v>5</v>
      </c>
      <c r="H80" s="17" t="n">
        <v>599</v>
      </c>
      <c r="I80" s="17" t="n">
        <v>2995</v>
      </c>
    </row>
    <row r="81">
      <c r="B81" s="15" t="n">
        <v>42847</v>
      </c>
      <c r="C81" t="inlineStr">
        <is>
          <t>Salzburg</t>
        </is>
      </c>
      <c r="D81" t="inlineStr">
        <is>
          <t>Moser</t>
        </is>
      </c>
      <c r="E81" t="inlineStr">
        <is>
          <t>Samsung</t>
        </is>
      </c>
      <c r="F81" t="inlineStr">
        <is>
          <t>Galaxy S8</t>
        </is>
      </c>
      <c r="G81" s="16" t="n">
        <v>10</v>
      </c>
      <c r="H81" s="17" t="n">
        <v>599</v>
      </c>
      <c r="I81" s="17" t="n">
        <v>5990</v>
      </c>
    </row>
    <row r="82">
      <c r="B82" s="15" t="n">
        <v>42848</v>
      </c>
      <c r="C82" t="inlineStr">
        <is>
          <t>Linz</t>
        </is>
      </c>
      <c r="D82" t="inlineStr">
        <is>
          <t>Hoffmann</t>
        </is>
      </c>
      <c r="E82" t="inlineStr">
        <is>
          <t>Samsung</t>
        </is>
      </c>
      <c r="F82" t="inlineStr">
        <is>
          <t>Galaxy Tab</t>
        </is>
      </c>
      <c r="G82" s="16" t="n">
        <v>4</v>
      </c>
      <c r="H82" s="17" t="n">
        <v>379</v>
      </c>
      <c r="I82" s="17" t="n">
        <v>1516</v>
      </c>
    </row>
    <row r="83">
      <c r="B83" s="15" t="n">
        <v>42848</v>
      </c>
      <c r="C83" t="inlineStr">
        <is>
          <t>Wien</t>
        </is>
      </c>
      <c r="D83" t="inlineStr">
        <is>
          <t>Berger</t>
        </is>
      </c>
      <c r="E83" t="inlineStr">
        <is>
          <t>Apple</t>
        </is>
      </c>
      <c r="F83" t="inlineStr">
        <is>
          <t>iPhone 8</t>
        </is>
      </c>
      <c r="G83" s="16" t="n">
        <v>9</v>
      </c>
      <c r="H83" s="17" t="n">
        <v>649</v>
      </c>
      <c r="I83" s="17" t="n">
        <v>5841</v>
      </c>
    </row>
    <row r="84">
      <c r="B84" s="15" t="n">
        <v>42849</v>
      </c>
      <c r="C84" t="inlineStr">
        <is>
          <t>Graz</t>
        </is>
      </c>
      <c r="D84" t="inlineStr">
        <is>
          <t>Berger</t>
        </is>
      </c>
      <c r="E84" t="inlineStr">
        <is>
          <t>Apple</t>
        </is>
      </c>
      <c r="F84" t="inlineStr">
        <is>
          <t>iPhone 8</t>
        </is>
      </c>
      <c r="G84" s="16" t="n">
        <v>10</v>
      </c>
      <c r="H84" s="17" t="n">
        <v>649</v>
      </c>
      <c r="I84" s="17" t="n">
        <v>6490</v>
      </c>
    </row>
    <row r="85">
      <c r="B85" s="15" t="n">
        <v>42851</v>
      </c>
      <c r="C85" t="inlineStr">
        <is>
          <t>Graz</t>
        </is>
      </c>
      <c r="D85" t="inlineStr">
        <is>
          <t>Hoffmann</t>
        </is>
      </c>
      <c r="E85" t="inlineStr">
        <is>
          <t>Huawei</t>
        </is>
      </c>
      <c r="F85" t="inlineStr">
        <is>
          <t>P20 Pro</t>
        </is>
      </c>
      <c r="G85" s="16" t="n">
        <v>1</v>
      </c>
      <c r="H85" s="17" t="n">
        <v>799</v>
      </c>
      <c r="I85" s="17" t="n">
        <v>799</v>
      </c>
    </row>
    <row r="86">
      <c r="B86" s="15" t="n">
        <v>42852</v>
      </c>
      <c r="C86" t="inlineStr">
        <is>
          <t>Graz</t>
        </is>
      </c>
      <c r="D86" t="inlineStr">
        <is>
          <t>Wagner</t>
        </is>
      </c>
      <c r="E86" t="inlineStr">
        <is>
          <t>Huawei</t>
        </is>
      </c>
      <c r="F86" t="inlineStr">
        <is>
          <t>MediaPad</t>
        </is>
      </c>
      <c r="G86" s="16" t="n">
        <v>8</v>
      </c>
      <c r="H86" s="17" t="n">
        <v>269</v>
      </c>
      <c r="I86" s="17" t="n">
        <v>2152</v>
      </c>
    </row>
    <row r="87">
      <c r="B87" s="15" t="n">
        <v>42856</v>
      </c>
      <c r="C87" t="inlineStr">
        <is>
          <t>Wien</t>
        </is>
      </c>
      <c r="D87" t="inlineStr">
        <is>
          <t>Hoffmann</t>
        </is>
      </c>
      <c r="E87" t="inlineStr">
        <is>
          <t>Samsung</t>
        </is>
      </c>
      <c r="F87" t="inlineStr">
        <is>
          <t>Galaxy S9</t>
        </is>
      </c>
      <c r="G87" s="16" t="n">
        <v>12</v>
      </c>
      <c r="H87" s="17" t="n">
        <v>849</v>
      </c>
      <c r="I87" s="17" t="n">
        <v>10188</v>
      </c>
    </row>
    <row r="88">
      <c r="B88" s="15" t="n">
        <v>42857</v>
      </c>
      <c r="C88" t="inlineStr">
        <is>
          <t>Salzburg</t>
        </is>
      </c>
      <c r="D88" t="inlineStr">
        <is>
          <t>Berger</t>
        </is>
      </c>
      <c r="E88" t="inlineStr">
        <is>
          <t>Apple</t>
        </is>
      </c>
      <c r="F88" t="inlineStr">
        <is>
          <t>iPhone X</t>
        </is>
      </c>
      <c r="G88" s="16" t="n">
        <v>1</v>
      </c>
      <c r="H88" s="17" t="n">
        <v>1149</v>
      </c>
      <c r="I88" s="17" t="n">
        <v>1149</v>
      </c>
    </row>
    <row r="89">
      <c r="B89" s="15" t="n">
        <v>42858</v>
      </c>
      <c r="C89" t="inlineStr">
        <is>
          <t>Graz</t>
        </is>
      </c>
      <c r="D89" t="inlineStr">
        <is>
          <t>Wagner</t>
        </is>
      </c>
      <c r="E89" t="inlineStr">
        <is>
          <t>Huawei</t>
        </is>
      </c>
      <c r="F89" t="inlineStr">
        <is>
          <t>MediaPad</t>
        </is>
      </c>
      <c r="G89" s="16" t="n">
        <v>9</v>
      </c>
      <c r="H89" s="17" t="n">
        <v>269</v>
      </c>
      <c r="I89" s="17" t="n">
        <v>2421</v>
      </c>
    </row>
    <row r="90">
      <c r="B90" s="15" t="n">
        <v>42859</v>
      </c>
      <c r="C90" t="inlineStr">
        <is>
          <t>Wien</t>
        </is>
      </c>
      <c r="D90" t="inlineStr">
        <is>
          <t>Moser</t>
        </is>
      </c>
      <c r="E90" t="inlineStr">
        <is>
          <t>Samsung</t>
        </is>
      </c>
      <c r="F90" t="inlineStr">
        <is>
          <t>Galaxy S9</t>
        </is>
      </c>
      <c r="G90" s="16" t="n">
        <v>3</v>
      </c>
      <c r="H90" s="17" t="n">
        <v>849</v>
      </c>
      <c r="I90" s="17" t="n">
        <v>2547</v>
      </c>
    </row>
    <row r="91">
      <c r="B91" s="15" t="n">
        <v>42859</v>
      </c>
      <c r="C91" t="inlineStr">
        <is>
          <t>Salzburg</t>
        </is>
      </c>
      <c r="D91" t="inlineStr">
        <is>
          <t>Moser</t>
        </is>
      </c>
      <c r="E91" t="inlineStr">
        <is>
          <t>Huawei</t>
        </is>
      </c>
      <c r="F91" t="inlineStr">
        <is>
          <t>P20 Pro</t>
        </is>
      </c>
      <c r="G91" s="16" t="n">
        <v>2</v>
      </c>
      <c r="H91" s="17" t="n">
        <v>799</v>
      </c>
      <c r="I91" s="17" t="n">
        <v>1598</v>
      </c>
    </row>
    <row r="92">
      <c r="B92" s="15" t="n">
        <v>42859</v>
      </c>
      <c r="C92" t="inlineStr">
        <is>
          <t>Wien</t>
        </is>
      </c>
      <c r="D92" t="inlineStr">
        <is>
          <t>Steiner</t>
        </is>
      </c>
      <c r="E92" t="inlineStr">
        <is>
          <t>Apple</t>
        </is>
      </c>
      <c r="F92" t="inlineStr">
        <is>
          <t>iPhone 8</t>
        </is>
      </c>
      <c r="G92" s="16" t="n">
        <v>8</v>
      </c>
      <c r="H92" s="17" t="n">
        <v>649</v>
      </c>
      <c r="I92" s="17" t="n">
        <v>5192</v>
      </c>
    </row>
    <row r="93">
      <c r="B93" s="15" t="n">
        <v>42864</v>
      </c>
      <c r="C93" t="inlineStr">
        <is>
          <t>Linz</t>
        </is>
      </c>
      <c r="D93" t="inlineStr">
        <is>
          <t>Steiner</t>
        </is>
      </c>
      <c r="E93" t="inlineStr">
        <is>
          <t>Samsung</t>
        </is>
      </c>
      <c r="F93" t="inlineStr">
        <is>
          <t>Galaxy S9</t>
        </is>
      </c>
      <c r="G93" s="16" t="n">
        <v>7</v>
      </c>
      <c r="H93" s="17" t="n">
        <v>849</v>
      </c>
      <c r="I93" s="17" t="n">
        <v>5943</v>
      </c>
    </row>
    <row r="94">
      <c r="B94" s="15" t="n">
        <v>42867</v>
      </c>
      <c r="C94" t="inlineStr">
        <is>
          <t>Graz</t>
        </is>
      </c>
      <c r="D94" t="inlineStr">
        <is>
          <t>Moser</t>
        </is>
      </c>
      <c r="E94" t="inlineStr">
        <is>
          <t>Apple</t>
        </is>
      </c>
      <c r="F94" t="inlineStr">
        <is>
          <t>iPad Air</t>
        </is>
      </c>
      <c r="G94" s="16" t="n">
        <v>1</v>
      </c>
      <c r="H94" s="17" t="n">
        <v>549</v>
      </c>
      <c r="I94" s="17" t="n">
        <v>549</v>
      </c>
    </row>
    <row r="95">
      <c r="B95" s="15" t="n">
        <v>42868</v>
      </c>
      <c r="C95" t="inlineStr">
        <is>
          <t>Linz</t>
        </is>
      </c>
      <c r="D95" t="inlineStr">
        <is>
          <t>Steiner</t>
        </is>
      </c>
      <c r="E95" t="inlineStr">
        <is>
          <t>Apple</t>
        </is>
      </c>
      <c r="F95" t="inlineStr">
        <is>
          <t>MacBook Air</t>
        </is>
      </c>
      <c r="G95" s="16" t="n">
        <v>2</v>
      </c>
      <c r="H95" s="17" t="n">
        <v>1199</v>
      </c>
      <c r="I95" s="17" t="n">
        <v>2398</v>
      </c>
    </row>
    <row r="96">
      <c r="B96" s="15" t="n">
        <v>42869</v>
      </c>
      <c r="C96" t="inlineStr">
        <is>
          <t>Graz</t>
        </is>
      </c>
      <c r="D96" t="inlineStr">
        <is>
          <t>Wagner</t>
        </is>
      </c>
      <c r="E96" t="inlineStr">
        <is>
          <t>Samsung</t>
        </is>
      </c>
      <c r="F96" t="inlineStr">
        <is>
          <t>Galaxy S8</t>
        </is>
      </c>
      <c r="G96" s="16" t="n">
        <v>7</v>
      </c>
      <c r="H96" s="17" t="n">
        <v>599</v>
      </c>
      <c r="I96" s="17" t="n">
        <v>4193</v>
      </c>
    </row>
    <row r="97">
      <c r="B97" s="15" t="n">
        <v>42869</v>
      </c>
      <c r="C97" t="inlineStr">
        <is>
          <t>Wien</t>
        </is>
      </c>
      <c r="D97" t="inlineStr">
        <is>
          <t>Berger</t>
        </is>
      </c>
      <c r="E97" t="inlineStr">
        <is>
          <t>Huawei</t>
        </is>
      </c>
      <c r="F97" t="inlineStr">
        <is>
          <t>P20 Pro</t>
        </is>
      </c>
      <c r="G97" s="16" t="n">
        <v>7</v>
      </c>
      <c r="H97" s="17" t="n">
        <v>799</v>
      </c>
      <c r="I97" s="17" t="n">
        <v>5593</v>
      </c>
    </row>
    <row r="98">
      <c r="B98" s="15" t="n">
        <v>42871</v>
      </c>
      <c r="C98" t="inlineStr">
        <is>
          <t>Wien</t>
        </is>
      </c>
      <c r="D98" t="inlineStr">
        <is>
          <t>Berger</t>
        </is>
      </c>
      <c r="E98" t="inlineStr">
        <is>
          <t>Sony</t>
        </is>
      </c>
      <c r="F98" t="inlineStr">
        <is>
          <t>Xperia L2</t>
        </is>
      </c>
      <c r="G98" s="16" t="n">
        <v>12</v>
      </c>
      <c r="H98" s="17" t="n">
        <v>249</v>
      </c>
      <c r="I98" s="17" t="n">
        <v>2988</v>
      </c>
    </row>
    <row r="99">
      <c r="B99" s="15" t="n">
        <v>42872</v>
      </c>
      <c r="C99" t="inlineStr">
        <is>
          <t>Graz</t>
        </is>
      </c>
      <c r="D99" t="inlineStr">
        <is>
          <t>Wagner</t>
        </is>
      </c>
      <c r="E99" t="inlineStr">
        <is>
          <t>Apple</t>
        </is>
      </c>
      <c r="F99" t="inlineStr">
        <is>
          <t>iPhone 8</t>
        </is>
      </c>
      <c r="G99" s="16" t="n">
        <v>12</v>
      </c>
      <c r="H99" s="17" t="n">
        <v>649</v>
      </c>
      <c r="I99" s="17" t="n">
        <v>7788</v>
      </c>
    </row>
    <row r="100">
      <c r="B100" s="15" t="n">
        <v>42872</v>
      </c>
      <c r="C100" t="inlineStr">
        <is>
          <t>Graz</t>
        </is>
      </c>
      <c r="D100" t="inlineStr">
        <is>
          <t>Berger</t>
        </is>
      </c>
      <c r="E100" t="inlineStr">
        <is>
          <t>Apple</t>
        </is>
      </c>
      <c r="F100" t="inlineStr">
        <is>
          <t>iPhone X</t>
        </is>
      </c>
      <c r="G100" s="16" t="n">
        <v>8</v>
      </c>
      <c r="H100" s="17" t="n">
        <v>1149</v>
      </c>
      <c r="I100" s="17" t="n">
        <v>9192</v>
      </c>
    </row>
    <row r="101">
      <c r="B101" s="15" t="n">
        <v>42872</v>
      </c>
      <c r="C101" t="inlineStr">
        <is>
          <t>Salzburg</t>
        </is>
      </c>
      <c r="D101" t="inlineStr">
        <is>
          <t>Moser</t>
        </is>
      </c>
      <c r="E101" t="inlineStr">
        <is>
          <t>Apple</t>
        </is>
      </c>
      <c r="F101" t="inlineStr">
        <is>
          <t>MacBook Air</t>
        </is>
      </c>
      <c r="G101" s="16" t="n">
        <v>3</v>
      </c>
      <c r="H101" s="17" t="n">
        <v>1199</v>
      </c>
      <c r="I101" s="17" t="n">
        <v>3597</v>
      </c>
    </row>
    <row r="102">
      <c r="B102" s="15" t="n">
        <v>42873</v>
      </c>
      <c r="C102" t="inlineStr">
        <is>
          <t>Linz</t>
        </is>
      </c>
      <c r="D102" t="inlineStr">
        <is>
          <t>Hoffmann</t>
        </is>
      </c>
      <c r="E102" t="inlineStr">
        <is>
          <t>Huawei</t>
        </is>
      </c>
      <c r="F102" t="inlineStr">
        <is>
          <t>MediaPad</t>
        </is>
      </c>
      <c r="G102" s="16" t="n">
        <v>2</v>
      </c>
      <c r="H102" s="17" t="n">
        <v>269</v>
      </c>
      <c r="I102" s="17" t="n">
        <v>538</v>
      </c>
    </row>
    <row r="103">
      <c r="B103" s="15" t="n">
        <v>42874</v>
      </c>
      <c r="C103" t="inlineStr">
        <is>
          <t>Graz</t>
        </is>
      </c>
      <c r="D103" t="inlineStr">
        <is>
          <t>Huber</t>
        </is>
      </c>
      <c r="E103" t="inlineStr">
        <is>
          <t>Samsung</t>
        </is>
      </c>
      <c r="F103" t="inlineStr">
        <is>
          <t>Galaxy S9</t>
        </is>
      </c>
      <c r="G103" s="16" t="n">
        <v>12</v>
      </c>
      <c r="H103" s="17" t="n">
        <v>849</v>
      </c>
      <c r="I103" s="17" t="n">
        <v>10188</v>
      </c>
    </row>
    <row r="104">
      <c r="B104" s="15" t="n">
        <v>42882</v>
      </c>
      <c r="C104" t="inlineStr">
        <is>
          <t>Linz</t>
        </is>
      </c>
      <c r="D104" t="inlineStr">
        <is>
          <t>Moser</t>
        </is>
      </c>
      <c r="E104" t="inlineStr">
        <is>
          <t>Apple</t>
        </is>
      </c>
      <c r="F104" t="inlineStr">
        <is>
          <t>iPad Air</t>
        </is>
      </c>
      <c r="G104" s="16" t="n">
        <v>10</v>
      </c>
      <c r="H104" s="17" t="n">
        <v>549</v>
      </c>
      <c r="I104" s="17" t="n">
        <v>5490</v>
      </c>
    </row>
    <row r="105">
      <c r="B105" s="15" t="n">
        <v>42883</v>
      </c>
      <c r="C105" t="inlineStr">
        <is>
          <t>Linz</t>
        </is>
      </c>
      <c r="D105" t="inlineStr">
        <is>
          <t>Hoffmann</t>
        </is>
      </c>
      <c r="E105" t="inlineStr">
        <is>
          <t>Sony</t>
        </is>
      </c>
      <c r="F105" t="inlineStr">
        <is>
          <t>Xperia XZ2</t>
        </is>
      </c>
      <c r="G105" s="16" t="n">
        <v>4</v>
      </c>
      <c r="H105" s="17" t="n">
        <v>699</v>
      </c>
      <c r="I105" s="17" t="n">
        <v>2796</v>
      </c>
    </row>
    <row r="106">
      <c r="B106" s="15" t="n">
        <v>42887</v>
      </c>
      <c r="C106" t="inlineStr">
        <is>
          <t>Linz</t>
        </is>
      </c>
      <c r="D106" t="inlineStr">
        <is>
          <t>Huber</t>
        </is>
      </c>
      <c r="E106" t="inlineStr">
        <is>
          <t>Samsung</t>
        </is>
      </c>
      <c r="F106" t="inlineStr">
        <is>
          <t>Galaxy Tab</t>
        </is>
      </c>
      <c r="G106" s="16" t="n">
        <v>8</v>
      </c>
      <c r="H106" s="17" t="n">
        <v>379</v>
      </c>
      <c r="I106" s="17" t="n">
        <v>3032</v>
      </c>
    </row>
    <row r="107">
      <c r="B107" s="15" t="n">
        <v>42889</v>
      </c>
      <c r="C107" t="inlineStr">
        <is>
          <t>Salzburg</t>
        </is>
      </c>
      <c r="D107" t="inlineStr">
        <is>
          <t>Huber</t>
        </is>
      </c>
      <c r="E107" t="inlineStr">
        <is>
          <t>Huawei</t>
        </is>
      </c>
      <c r="F107" t="inlineStr">
        <is>
          <t>MediaPad</t>
        </is>
      </c>
      <c r="G107" s="16" t="n">
        <v>10</v>
      </c>
      <c r="H107" s="17" t="n">
        <v>269</v>
      </c>
      <c r="I107" s="17" t="n">
        <v>2690</v>
      </c>
    </row>
    <row r="108">
      <c r="B108" s="15" t="n">
        <v>42893</v>
      </c>
      <c r="C108" t="inlineStr">
        <is>
          <t>Linz</t>
        </is>
      </c>
      <c r="D108" t="inlineStr">
        <is>
          <t>Berger</t>
        </is>
      </c>
      <c r="E108" t="inlineStr">
        <is>
          <t>Apple</t>
        </is>
      </c>
      <c r="F108" t="inlineStr">
        <is>
          <t>iPhone 8</t>
        </is>
      </c>
      <c r="G108" s="16" t="n">
        <v>11</v>
      </c>
      <c r="H108" s="17" t="n">
        <v>649</v>
      </c>
      <c r="I108" s="17" t="n">
        <v>7139</v>
      </c>
    </row>
    <row r="109">
      <c r="B109" s="15" t="n">
        <v>42895</v>
      </c>
      <c r="C109" t="inlineStr">
        <is>
          <t>Salzburg</t>
        </is>
      </c>
      <c r="D109" t="inlineStr">
        <is>
          <t>Moser</t>
        </is>
      </c>
      <c r="E109" t="inlineStr">
        <is>
          <t>Apple</t>
        </is>
      </c>
      <c r="F109" t="inlineStr">
        <is>
          <t>MacBook Air</t>
        </is>
      </c>
      <c r="G109" s="16" t="n">
        <v>5</v>
      </c>
      <c r="H109" s="17" t="n">
        <v>1199</v>
      </c>
      <c r="I109" s="17" t="n">
        <v>5995</v>
      </c>
    </row>
    <row r="110">
      <c r="B110" s="15" t="n">
        <v>42896</v>
      </c>
      <c r="C110" t="inlineStr">
        <is>
          <t>Linz</t>
        </is>
      </c>
      <c r="D110" t="inlineStr">
        <is>
          <t>Hoffmann</t>
        </is>
      </c>
      <c r="E110" t="inlineStr">
        <is>
          <t>Samsung</t>
        </is>
      </c>
      <c r="F110" t="inlineStr">
        <is>
          <t>Galaxy S8</t>
        </is>
      </c>
      <c r="G110" s="16" t="n">
        <v>3</v>
      </c>
      <c r="H110" s="17" t="n">
        <v>599</v>
      </c>
      <c r="I110" s="17" t="n">
        <v>1797</v>
      </c>
    </row>
    <row r="111">
      <c r="B111" s="15" t="n">
        <v>42897</v>
      </c>
      <c r="C111" t="inlineStr">
        <is>
          <t>Linz</t>
        </is>
      </c>
      <c r="D111" t="inlineStr">
        <is>
          <t>Steiner</t>
        </is>
      </c>
      <c r="E111" t="inlineStr">
        <is>
          <t>Apple</t>
        </is>
      </c>
      <c r="F111" t="inlineStr">
        <is>
          <t>MacBook Air</t>
        </is>
      </c>
      <c r="G111" s="16" t="n">
        <v>7</v>
      </c>
      <c r="H111" s="17" t="n">
        <v>1199</v>
      </c>
      <c r="I111" s="17" t="n">
        <v>8393</v>
      </c>
    </row>
    <row r="112">
      <c r="B112" s="15" t="n">
        <v>42897</v>
      </c>
      <c r="C112" t="inlineStr">
        <is>
          <t>Graz</t>
        </is>
      </c>
      <c r="D112" t="inlineStr">
        <is>
          <t>Wagner</t>
        </is>
      </c>
      <c r="E112" t="inlineStr">
        <is>
          <t>Huawei</t>
        </is>
      </c>
      <c r="F112" t="inlineStr">
        <is>
          <t>P20 Pro</t>
        </is>
      </c>
      <c r="G112" s="16" t="n">
        <v>3</v>
      </c>
      <c r="H112" s="17" t="n">
        <v>799</v>
      </c>
      <c r="I112" s="17" t="n">
        <v>2397</v>
      </c>
    </row>
    <row r="113">
      <c r="B113" s="15" t="n">
        <v>42901</v>
      </c>
      <c r="C113" t="inlineStr">
        <is>
          <t>Graz</t>
        </is>
      </c>
      <c r="D113" t="inlineStr">
        <is>
          <t>Wagner</t>
        </is>
      </c>
      <c r="E113" t="inlineStr">
        <is>
          <t>Huawei</t>
        </is>
      </c>
      <c r="F113" t="inlineStr">
        <is>
          <t>MediaPad</t>
        </is>
      </c>
      <c r="G113" s="16" t="n">
        <v>7</v>
      </c>
      <c r="H113" s="17" t="n">
        <v>269</v>
      </c>
      <c r="I113" s="17" t="n">
        <v>1883</v>
      </c>
    </row>
    <row r="114">
      <c r="B114" s="15" t="n">
        <v>42902</v>
      </c>
      <c r="C114" t="inlineStr">
        <is>
          <t>Salzburg</t>
        </is>
      </c>
      <c r="D114" t="inlineStr">
        <is>
          <t>Wagner</t>
        </is>
      </c>
      <c r="E114" t="inlineStr">
        <is>
          <t>Apple</t>
        </is>
      </c>
      <c r="F114" t="inlineStr">
        <is>
          <t>iPhone 8</t>
        </is>
      </c>
      <c r="G114" s="16" t="n">
        <v>7</v>
      </c>
      <c r="H114" s="17" t="n">
        <v>649</v>
      </c>
      <c r="I114" s="17" t="n">
        <v>4543</v>
      </c>
    </row>
    <row r="115">
      <c r="B115" s="15" t="n">
        <v>42903</v>
      </c>
      <c r="C115" t="inlineStr">
        <is>
          <t>Linz</t>
        </is>
      </c>
      <c r="D115" t="inlineStr">
        <is>
          <t>Berger</t>
        </is>
      </c>
      <c r="E115" t="inlineStr">
        <is>
          <t>Samsung</t>
        </is>
      </c>
      <c r="F115" t="inlineStr">
        <is>
          <t>Galaxy Tab</t>
        </is>
      </c>
      <c r="G115" s="16" t="n">
        <v>7</v>
      </c>
      <c r="H115" s="17" t="n">
        <v>379</v>
      </c>
      <c r="I115" s="17" t="n">
        <v>2653</v>
      </c>
    </row>
    <row r="116">
      <c r="B116" s="15" t="n">
        <v>42904</v>
      </c>
      <c r="C116" t="inlineStr">
        <is>
          <t>Graz</t>
        </is>
      </c>
      <c r="D116" t="inlineStr">
        <is>
          <t>Moser</t>
        </is>
      </c>
      <c r="E116" t="inlineStr">
        <is>
          <t>Apple</t>
        </is>
      </c>
      <c r="F116" t="inlineStr">
        <is>
          <t>iPhone X</t>
        </is>
      </c>
      <c r="G116" s="16" t="n">
        <v>8</v>
      </c>
      <c r="H116" s="17" t="n">
        <v>1149</v>
      </c>
      <c r="I116" s="17" t="n">
        <v>9192</v>
      </c>
    </row>
    <row r="117">
      <c r="B117" s="15" t="n">
        <v>42905</v>
      </c>
      <c r="C117" t="inlineStr">
        <is>
          <t>Graz</t>
        </is>
      </c>
      <c r="D117" t="inlineStr">
        <is>
          <t>Huber</t>
        </is>
      </c>
      <c r="E117" t="inlineStr">
        <is>
          <t>Samsung</t>
        </is>
      </c>
      <c r="F117" t="inlineStr">
        <is>
          <t>Galaxy S9</t>
        </is>
      </c>
      <c r="G117" s="16" t="n">
        <v>9</v>
      </c>
      <c r="H117" s="17" t="n">
        <v>849</v>
      </c>
      <c r="I117" s="17" t="n">
        <v>7641</v>
      </c>
    </row>
    <row r="118">
      <c r="B118" s="15" t="n">
        <v>42905</v>
      </c>
      <c r="C118" t="inlineStr">
        <is>
          <t>Wien</t>
        </is>
      </c>
      <c r="D118" t="inlineStr">
        <is>
          <t>Moser</t>
        </is>
      </c>
      <c r="E118" t="inlineStr">
        <is>
          <t>Apple</t>
        </is>
      </c>
      <c r="F118" t="inlineStr">
        <is>
          <t>iPad Air</t>
        </is>
      </c>
      <c r="G118" s="16" t="n">
        <v>12</v>
      </c>
      <c r="H118" s="17" t="n">
        <v>549</v>
      </c>
      <c r="I118" s="17" t="n">
        <v>6588</v>
      </c>
    </row>
    <row r="119">
      <c r="B119" s="15" t="n">
        <v>42905</v>
      </c>
      <c r="C119" t="inlineStr">
        <is>
          <t>Graz</t>
        </is>
      </c>
      <c r="D119" t="inlineStr">
        <is>
          <t>Hoffmann</t>
        </is>
      </c>
      <c r="E119" t="inlineStr">
        <is>
          <t>Sony</t>
        </is>
      </c>
      <c r="F119" t="inlineStr">
        <is>
          <t>Xperia L2</t>
        </is>
      </c>
      <c r="G119" s="16" t="n">
        <v>3</v>
      </c>
      <c r="H119" s="17" t="n">
        <v>249</v>
      </c>
      <c r="I119" s="17" t="n">
        <v>747</v>
      </c>
    </row>
    <row r="120">
      <c r="B120" s="15" t="n">
        <v>42906</v>
      </c>
      <c r="C120" t="inlineStr">
        <is>
          <t>Wien</t>
        </is>
      </c>
      <c r="D120" t="inlineStr">
        <is>
          <t>Wagner</t>
        </is>
      </c>
      <c r="E120" t="inlineStr">
        <is>
          <t>Apple</t>
        </is>
      </c>
      <c r="F120" t="inlineStr">
        <is>
          <t>iPhone 8</t>
        </is>
      </c>
      <c r="G120" s="16" t="n">
        <v>8</v>
      </c>
      <c r="H120" s="17" t="n">
        <v>649</v>
      </c>
      <c r="I120" s="17" t="n">
        <v>5192</v>
      </c>
    </row>
    <row r="121">
      <c r="B121" s="15" t="n">
        <v>42907</v>
      </c>
      <c r="C121" t="inlineStr">
        <is>
          <t>Wien</t>
        </is>
      </c>
      <c r="D121" t="inlineStr">
        <is>
          <t>Steiner</t>
        </is>
      </c>
      <c r="E121" t="inlineStr">
        <is>
          <t>Huawei</t>
        </is>
      </c>
      <c r="F121" t="inlineStr">
        <is>
          <t>MediaPad</t>
        </is>
      </c>
      <c r="G121" s="16" t="n">
        <v>12</v>
      </c>
      <c r="H121" s="17" t="n">
        <v>269</v>
      </c>
      <c r="I121" s="17" t="n">
        <v>3228</v>
      </c>
    </row>
    <row r="122">
      <c r="B122" s="15" t="n">
        <v>42908</v>
      </c>
      <c r="C122" t="inlineStr">
        <is>
          <t>Linz</t>
        </is>
      </c>
      <c r="D122" t="inlineStr">
        <is>
          <t>Steiner</t>
        </is>
      </c>
      <c r="E122" t="inlineStr">
        <is>
          <t>Apple</t>
        </is>
      </c>
      <c r="F122" t="inlineStr">
        <is>
          <t>iPhone X</t>
        </is>
      </c>
      <c r="G122" s="16" t="n">
        <v>6</v>
      </c>
      <c r="H122" s="17" t="n">
        <v>1149</v>
      </c>
      <c r="I122" s="17" t="n">
        <v>6894</v>
      </c>
    </row>
    <row r="123">
      <c r="B123" s="15" t="n">
        <v>42912</v>
      </c>
      <c r="C123" t="inlineStr">
        <is>
          <t>Graz</t>
        </is>
      </c>
      <c r="D123" t="inlineStr">
        <is>
          <t>Wagner</t>
        </is>
      </c>
      <c r="E123" t="inlineStr">
        <is>
          <t>Sony</t>
        </is>
      </c>
      <c r="F123" t="inlineStr">
        <is>
          <t>Xperia XZ2</t>
        </is>
      </c>
      <c r="G123" s="16" t="n">
        <v>7</v>
      </c>
      <c r="H123" s="17" t="n">
        <v>699</v>
      </c>
      <c r="I123" s="17" t="n">
        <v>4893</v>
      </c>
    </row>
    <row r="124">
      <c r="B124" s="15" t="n">
        <v>42917</v>
      </c>
      <c r="C124" t="inlineStr">
        <is>
          <t>Graz</t>
        </is>
      </c>
      <c r="D124" t="inlineStr">
        <is>
          <t>Berger</t>
        </is>
      </c>
      <c r="E124" t="inlineStr">
        <is>
          <t>Huawei</t>
        </is>
      </c>
      <c r="F124" t="inlineStr">
        <is>
          <t>MediaPad</t>
        </is>
      </c>
      <c r="G124" s="16" t="n">
        <v>1</v>
      </c>
      <c r="H124" s="17" t="n">
        <v>269</v>
      </c>
      <c r="I124" s="17" t="n">
        <v>269</v>
      </c>
    </row>
    <row r="125">
      <c r="B125" s="15" t="n">
        <v>42921</v>
      </c>
      <c r="C125" t="inlineStr">
        <is>
          <t>Linz</t>
        </is>
      </c>
      <c r="D125" t="inlineStr">
        <is>
          <t>Steiner</t>
        </is>
      </c>
      <c r="E125" t="inlineStr">
        <is>
          <t>Apple</t>
        </is>
      </c>
      <c r="F125" t="inlineStr">
        <is>
          <t>MacBook Air</t>
        </is>
      </c>
      <c r="G125" s="16" t="n">
        <v>9</v>
      </c>
      <c r="H125" s="17" t="n">
        <v>1199</v>
      </c>
      <c r="I125" s="17" t="n">
        <v>10791</v>
      </c>
    </row>
    <row r="126">
      <c r="B126" s="15" t="n">
        <v>42922</v>
      </c>
      <c r="C126" t="inlineStr">
        <is>
          <t>Salzburg</t>
        </is>
      </c>
      <c r="D126" t="inlineStr">
        <is>
          <t>Moser</t>
        </is>
      </c>
      <c r="E126" t="inlineStr">
        <is>
          <t>Samsung</t>
        </is>
      </c>
      <c r="F126" t="inlineStr">
        <is>
          <t>Galaxy Tab</t>
        </is>
      </c>
      <c r="G126" s="16" t="n">
        <v>2</v>
      </c>
      <c r="H126" s="17" t="n">
        <v>379</v>
      </c>
      <c r="I126" s="17" t="n">
        <v>758</v>
      </c>
    </row>
    <row r="127">
      <c r="B127" s="15" t="n">
        <v>42924</v>
      </c>
      <c r="C127" t="inlineStr">
        <is>
          <t>Graz</t>
        </is>
      </c>
      <c r="D127" t="inlineStr">
        <is>
          <t>Huber</t>
        </is>
      </c>
      <c r="E127" t="inlineStr">
        <is>
          <t>Apple</t>
        </is>
      </c>
      <c r="F127" t="inlineStr">
        <is>
          <t>MacBook Air</t>
        </is>
      </c>
      <c r="G127" s="16" t="n">
        <v>5</v>
      </c>
      <c r="H127" s="17" t="n">
        <v>1199</v>
      </c>
      <c r="I127" s="17" t="n">
        <v>5995</v>
      </c>
    </row>
    <row r="128">
      <c r="B128" s="15" t="n">
        <v>42924</v>
      </c>
      <c r="C128" t="inlineStr">
        <is>
          <t>Linz</t>
        </is>
      </c>
      <c r="D128" t="inlineStr">
        <is>
          <t>Steiner</t>
        </is>
      </c>
      <c r="E128" t="inlineStr">
        <is>
          <t>Huawei</t>
        </is>
      </c>
      <c r="F128" t="inlineStr">
        <is>
          <t>MediaPad</t>
        </is>
      </c>
      <c r="G128" s="16" t="n">
        <v>6</v>
      </c>
      <c r="H128" s="17" t="n">
        <v>269</v>
      </c>
      <c r="I128" s="17" t="n">
        <v>1614</v>
      </c>
    </row>
    <row r="129">
      <c r="B129" s="15" t="n">
        <v>42926</v>
      </c>
      <c r="C129" t="inlineStr">
        <is>
          <t>Wien</t>
        </is>
      </c>
      <c r="D129" t="inlineStr">
        <is>
          <t>Steiner</t>
        </is>
      </c>
      <c r="E129" t="inlineStr">
        <is>
          <t>Sony</t>
        </is>
      </c>
      <c r="F129" t="inlineStr">
        <is>
          <t>Xperia L2</t>
        </is>
      </c>
      <c r="G129" s="16" t="n">
        <v>6</v>
      </c>
      <c r="H129" s="17" t="n">
        <v>249</v>
      </c>
      <c r="I129" s="17" t="n">
        <v>1494</v>
      </c>
    </row>
    <row r="130">
      <c r="B130" s="15" t="n">
        <v>42929</v>
      </c>
      <c r="C130" t="inlineStr">
        <is>
          <t>Salzburg</t>
        </is>
      </c>
      <c r="D130" t="inlineStr">
        <is>
          <t>Wagner</t>
        </is>
      </c>
      <c r="E130" t="inlineStr">
        <is>
          <t>Apple</t>
        </is>
      </c>
      <c r="F130" t="inlineStr">
        <is>
          <t>iPad Air</t>
        </is>
      </c>
      <c r="G130" s="16" t="n">
        <v>5</v>
      </c>
      <c r="H130" s="17" t="n">
        <v>549</v>
      </c>
      <c r="I130" s="17" t="n">
        <v>2745</v>
      </c>
    </row>
    <row r="131">
      <c r="B131" s="15" t="n">
        <v>42931</v>
      </c>
      <c r="C131" t="inlineStr">
        <is>
          <t>Wien</t>
        </is>
      </c>
      <c r="D131" t="inlineStr">
        <is>
          <t>Steiner</t>
        </is>
      </c>
      <c r="E131" t="inlineStr">
        <is>
          <t>Apple</t>
        </is>
      </c>
      <c r="F131" t="inlineStr">
        <is>
          <t>MacBook Air</t>
        </is>
      </c>
      <c r="G131" s="16" t="n">
        <v>3</v>
      </c>
      <c r="H131" s="17" t="n">
        <v>1199</v>
      </c>
      <c r="I131" s="17" t="n">
        <v>3597</v>
      </c>
    </row>
    <row r="132">
      <c r="B132" s="15" t="n">
        <v>42934</v>
      </c>
      <c r="C132" t="inlineStr">
        <is>
          <t>Graz</t>
        </is>
      </c>
      <c r="D132" t="inlineStr">
        <is>
          <t>Hoffmann</t>
        </is>
      </c>
      <c r="E132" t="inlineStr">
        <is>
          <t>Samsung</t>
        </is>
      </c>
      <c r="F132" t="inlineStr">
        <is>
          <t>Galaxy Tab</t>
        </is>
      </c>
      <c r="G132" s="16" t="n">
        <v>12</v>
      </c>
      <c r="H132" s="17" t="n">
        <v>379</v>
      </c>
      <c r="I132" s="17" t="n">
        <v>4548</v>
      </c>
    </row>
    <row r="133">
      <c r="B133" s="15" t="n">
        <v>42934</v>
      </c>
      <c r="C133" t="inlineStr">
        <is>
          <t>Salzburg</t>
        </is>
      </c>
      <c r="D133" t="inlineStr">
        <is>
          <t>Moser</t>
        </is>
      </c>
      <c r="E133" t="inlineStr">
        <is>
          <t>Apple</t>
        </is>
      </c>
      <c r="F133" t="inlineStr">
        <is>
          <t>MacBook Air</t>
        </is>
      </c>
      <c r="G133" s="16" t="n">
        <v>11</v>
      </c>
      <c r="H133" s="17" t="n">
        <v>1199</v>
      </c>
      <c r="I133" s="17" t="n">
        <v>13189</v>
      </c>
    </row>
    <row r="134">
      <c r="B134" s="15" t="n">
        <v>42935</v>
      </c>
      <c r="C134" t="inlineStr">
        <is>
          <t>Graz</t>
        </is>
      </c>
      <c r="D134" t="inlineStr">
        <is>
          <t>Huber</t>
        </is>
      </c>
      <c r="E134" t="inlineStr">
        <is>
          <t>Apple</t>
        </is>
      </c>
      <c r="F134" t="inlineStr">
        <is>
          <t>iPhone X</t>
        </is>
      </c>
      <c r="G134" s="16" t="n">
        <v>6</v>
      </c>
      <c r="H134" s="17" t="n">
        <v>1149</v>
      </c>
      <c r="I134" s="17" t="n">
        <v>6894</v>
      </c>
    </row>
    <row r="135">
      <c r="B135" s="15" t="n">
        <v>42939</v>
      </c>
      <c r="C135" t="inlineStr">
        <is>
          <t>Linz</t>
        </is>
      </c>
      <c r="D135" t="inlineStr">
        <is>
          <t>Moser</t>
        </is>
      </c>
      <c r="E135" t="inlineStr">
        <is>
          <t>Samsung</t>
        </is>
      </c>
      <c r="F135" t="inlineStr">
        <is>
          <t>Galaxy Tab</t>
        </is>
      </c>
      <c r="G135" s="16" t="n">
        <v>12</v>
      </c>
      <c r="H135" s="17" t="n">
        <v>379</v>
      </c>
      <c r="I135" s="17" t="n">
        <v>4548</v>
      </c>
    </row>
    <row r="136">
      <c r="B136" s="15" t="n">
        <v>42939</v>
      </c>
      <c r="C136" t="inlineStr">
        <is>
          <t>Wien</t>
        </is>
      </c>
      <c r="D136" t="inlineStr">
        <is>
          <t>Berger</t>
        </is>
      </c>
      <c r="E136" t="inlineStr">
        <is>
          <t>Samsung</t>
        </is>
      </c>
      <c r="F136" t="inlineStr">
        <is>
          <t>Galaxy S9</t>
        </is>
      </c>
      <c r="G136" s="16" t="n">
        <v>12</v>
      </c>
      <c r="H136" s="17" t="n">
        <v>849</v>
      </c>
      <c r="I136" s="17" t="n">
        <v>10188</v>
      </c>
    </row>
    <row r="137">
      <c r="B137" s="15" t="n">
        <v>42941</v>
      </c>
      <c r="C137" t="inlineStr">
        <is>
          <t>Linz</t>
        </is>
      </c>
      <c r="D137" t="inlineStr">
        <is>
          <t>Moser</t>
        </is>
      </c>
      <c r="E137" t="inlineStr">
        <is>
          <t>Apple</t>
        </is>
      </c>
      <c r="F137" t="inlineStr">
        <is>
          <t>iPad Air</t>
        </is>
      </c>
      <c r="G137" s="16" t="n">
        <v>10</v>
      </c>
      <c r="H137" s="17" t="n">
        <v>549</v>
      </c>
      <c r="I137" s="17" t="n">
        <v>5490</v>
      </c>
    </row>
    <row r="138">
      <c r="B138" s="15" t="n">
        <v>42944</v>
      </c>
      <c r="C138" t="inlineStr">
        <is>
          <t>Linz</t>
        </is>
      </c>
      <c r="D138" t="inlineStr">
        <is>
          <t>Wagner</t>
        </is>
      </c>
      <c r="E138" t="inlineStr">
        <is>
          <t>Huawei</t>
        </is>
      </c>
      <c r="F138" t="inlineStr">
        <is>
          <t>P20</t>
        </is>
      </c>
      <c r="G138" s="16" t="n">
        <v>5</v>
      </c>
      <c r="H138" s="17" t="n">
        <v>499</v>
      </c>
      <c r="I138" s="17" t="n">
        <v>2495</v>
      </c>
    </row>
    <row r="139">
      <c r="B139" s="15" t="n">
        <v>42950</v>
      </c>
      <c r="C139" t="inlineStr">
        <is>
          <t>Linz</t>
        </is>
      </c>
      <c r="D139" t="inlineStr">
        <is>
          <t>Moser</t>
        </is>
      </c>
      <c r="E139" t="inlineStr">
        <is>
          <t>Apple</t>
        </is>
      </c>
      <c r="F139" t="inlineStr">
        <is>
          <t>iPad Air</t>
        </is>
      </c>
      <c r="G139" s="16" t="n">
        <v>8</v>
      </c>
      <c r="H139" s="17" t="n">
        <v>549</v>
      </c>
      <c r="I139" s="17" t="n">
        <v>4392</v>
      </c>
    </row>
    <row r="140">
      <c r="B140" s="15" t="n">
        <v>42953</v>
      </c>
      <c r="C140" t="inlineStr">
        <is>
          <t>Salzburg</t>
        </is>
      </c>
      <c r="D140" t="inlineStr">
        <is>
          <t>Wagner</t>
        </is>
      </c>
      <c r="E140" t="inlineStr">
        <is>
          <t>Apple</t>
        </is>
      </c>
      <c r="F140" t="inlineStr">
        <is>
          <t>iPad Air</t>
        </is>
      </c>
      <c r="G140" s="16" t="n">
        <v>5</v>
      </c>
      <c r="H140" s="17" t="n">
        <v>549</v>
      </c>
      <c r="I140" s="17" t="n">
        <v>2745</v>
      </c>
    </row>
    <row r="141">
      <c r="B141" s="15" t="n">
        <v>42954</v>
      </c>
      <c r="C141" t="inlineStr">
        <is>
          <t>Salzburg</t>
        </is>
      </c>
      <c r="D141" t="inlineStr">
        <is>
          <t>Steiner</t>
        </is>
      </c>
      <c r="E141" t="inlineStr">
        <is>
          <t>Sony</t>
        </is>
      </c>
      <c r="F141" t="inlineStr">
        <is>
          <t>Xperia XZ2</t>
        </is>
      </c>
      <c r="G141" s="16" t="n">
        <v>9</v>
      </c>
      <c r="H141" s="17" t="n">
        <v>699</v>
      </c>
      <c r="I141" s="17" t="n">
        <v>6291</v>
      </c>
    </row>
    <row r="142">
      <c r="B142" s="15" t="n">
        <v>42954</v>
      </c>
      <c r="C142" t="inlineStr">
        <is>
          <t>Linz</t>
        </is>
      </c>
      <c r="D142" t="inlineStr">
        <is>
          <t>Hoffmann</t>
        </is>
      </c>
      <c r="E142" t="inlineStr">
        <is>
          <t>Huawei</t>
        </is>
      </c>
      <c r="F142" t="inlineStr">
        <is>
          <t>P20</t>
        </is>
      </c>
      <c r="G142" s="16" t="n">
        <v>4</v>
      </c>
      <c r="H142" s="17" t="n">
        <v>499</v>
      </c>
      <c r="I142" s="17" t="n">
        <v>1996</v>
      </c>
    </row>
    <row r="143">
      <c r="B143" s="15" t="n">
        <v>42956</v>
      </c>
      <c r="C143" t="inlineStr">
        <is>
          <t>Graz</t>
        </is>
      </c>
      <c r="D143" t="inlineStr">
        <is>
          <t>Wagner</t>
        </is>
      </c>
      <c r="E143" t="inlineStr">
        <is>
          <t>Huawei</t>
        </is>
      </c>
      <c r="F143" t="inlineStr">
        <is>
          <t>P20 Pro</t>
        </is>
      </c>
      <c r="G143" s="16" t="n">
        <v>7</v>
      </c>
      <c r="H143" s="17" t="n">
        <v>799</v>
      </c>
      <c r="I143" s="17" t="n">
        <v>5593</v>
      </c>
    </row>
    <row r="144">
      <c r="B144" s="15" t="n">
        <v>42957</v>
      </c>
      <c r="C144" t="inlineStr">
        <is>
          <t>Salzburg</t>
        </is>
      </c>
      <c r="D144" t="inlineStr">
        <is>
          <t>Huber</t>
        </is>
      </c>
      <c r="E144" t="inlineStr">
        <is>
          <t>Huawei</t>
        </is>
      </c>
      <c r="F144" t="inlineStr">
        <is>
          <t>P20</t>
        </is>
      </c>
      <c r="G144" s="16" t="n">
        <v>6</v>
      </c>
      <c r="H144" s="17" t="n">
        <v>499</v>
      </c>
      <c r="I144" s="17" t="n">
        <v>2994</v>
      </c>
    </row>
    <row r="145">
      <c r="B145" s="15" t="n">
        <v>42960</v>
      </c>
      <c r="C145" t="inlineStr">
        <is>
          <t>Salzburg</t>
        </is>
      </c>
      <c r="D145" t="inlineStr">
        <is>
          <t>Wagner</t>
        </is>
      </c>
      <c r="E145" t="inlineStr">
        <is>
          <t>Samsung</t>
        </is>
      </c>
      <c r="F145" t="inlineStr">
        <is>
          <t>Galaxy Tab</t>
        </is>
      </c>
      <c r="G145" s="16" t="n">
        <v>9</v>
      </c>
      <c r="H145" s="17" t="n">
        <v>379</v>
      </c>
      <c r="I145" s="17" t="n">
        <v>3411</v>
      </c>
    </row>
    <row r="146">
      <c r="B146" s="15" t="n">
        <v>42961</v>
      </c>
      <c r="C146" t="inlineStr">
        <is>
          <t>Linz</t>
        </is>
      </c>
      <c r="D146" t="inlineStr">
        <is>
          <t>Berger</t>
        </is>
      </c>
      <c r="E146" t="inlineStr">
        <is>
          <t>Apple</t>
        </is>
      </c>
      <c r="F146" t="inlineStr">
        <is>
          <t>iPhone X</t>
        </is>
      </c>
      <c r="G146" s="16" t="n">
        <v>1</v>
      </c>
      <c r="H146" s="17" t="n">
        <v>1149</v>
      </c>
      <c r="I146" s="17" t="n">
        <v>1149</v>
      </c>
    </row>
    <row r="147">
      <c r="B147" s="15" t="n">
        <v>42962</v>
      </c>
      <c r="C147" t="inlineStr">
        <is>
          <t>Salzburg</t>
        </is>
      </c>
      <c r="D147" t="inlineStr">
        <is>
          <t>Huber</t>
        </is>
      </c>
      <c r="E147" t="inlineStr">
        <is>
          <t>Huawei</t>
        </is>
      </c>
      <c r="F147" t="inlineStr">
        <is>
          <t>P20</t>
        </is>
      </c>
      <c r="G147" s="16" t="n">
        <v>3</v>
      </c>
      <c r="H147" s="17" t="n">
        <v>499</v>
      </c>
      <c r="I147" s="17" t="n">
        <v>1497</v>
      </c>
    </row>
    <row r="148">
      <c r="B148" s="15" t="n">
        <v>42967</v>
      </c>
      <c r="C148" t="inlineStr">
        <is>
          <t>Salzburg</t>
        </is>
      </c>
      <c r="D148" t="inlineStr">
        <is>
          <t>Hoffmann</t>
        </is>
      </c>
      <c r="E148" t="inlineStr">
        <is>
          <t>Samsung</t>
        </is>
      </c>
      <c r="F148" t="inlineStr">
        <is>
          <t>Galaxy S9</t>
        </is>
      </c>
      <c r="G148" s="16" t="n">
        <v>5</v>
      </c>
      <c r="H148" s="17" t="n">
        <v>849</v>
      </c>
      <c r="I148" s="17" t="n">
        <v>4245</v>
      </c>
    </row>
    <row r="149">
      <c r="B149" s="15" t="n">
        <v>42969</v>
      </c>
      <c r="C149" t="inlineStr">
        <is>
          <t>Wien</t>
        </is>
      </c>
      <c r="D149" t="inlineStr">
        <is>
          <t>Huber</t>
        </is>
      </c>
      <c r="E149" t="inlineStr">
        <is>
          <t>Samsung</t>
        </is>
      </c>
      <c r="F149" t="inlineStr">
        <is>
          <t>Galaxy Tab</t>
        </is>
      </c>
      <c r="G149" s="16" t="n">
        <v>9</v>
      </c>
      <c r="H149" s="17" t="n">
        <v>379</v>
      </c>
      <c r="I149" s="17" t="n">
        <v>3411</v>
      </c>
    </row>
    <row r="150">
      <c r="B150" s="15" t="n">
        <v>42969</v>
      </c>
      <c r="C150" t="inlineStr">
        <is>
          <t>Linz</t>
        </is>
      </c>
      <c r="D150" t="inlineStr">
        <is>
          <t>Berger</t>
        </is>
      </c>
      <c r="E150" t="inlineStr">
        <is>
          <t>Apple</t>
        </is>
      </c>
      <c r="F150" t="inlineStr">
        <is>
          <t>iPhone 8</t>
        </is>
      </c>
      <c r="G150" s="16" t="n">
        <v>7</v>
      </c>
      <c r="H150" s="17" t="n">
        <v>649</v>
      </c>
      <c r="I150" s="17" t="n">
        <v>4543</v>
      </c>
    </row>
    <row r="151">
      <c r="B151" s="15" t="n">
        <v>42971</v>
      </c>
      <c r="C151" t="inlineStr">
        <is>
          <t>Linz</t>
        </is>
      </c>
      <c r="D151" t="inlineStr">
        <is>
          <t>Berger</t>
        </is>
      </c>
      <c r="E151" t="inlineStr">
        <is>
          <t>Apple</t>
        </is>
      </c>
      <c r="F151" t="inlineStr">
        <is>
          <t>MacBook Air</t>
        </is>
      </c>
      <c r="G151" s="16" t="n">
        <v>3</v>
      </c>
      <c r="H151" s="17" t="n">
        <v>1199</v>
      </c>
      <c r="I151" s="17" t="n">
        <v>3597</v>
      </c>
    </row>
    <row r="152">
      <c r="B152" s="15" t="n">
        <v>42975</v>
      </c>
      <c r="C152" t="inlineStr">
        <is>
          <t>Salzburg</t>
        </is>
      </c>
      <c r="D152" t="inlineStr">
        <is>
          <t>Moser</t>
        </is>
      </c>
      <c r="E152" t="inlineStr">
        <is>
          <t>Samsung</t>
        </is>
      </c>
      <c r="F152" t="inlineStr">
        <is>
          <t>Galaxy S8</t>
        </is>
      </c>
      <c r="G152" s="16" t="n">
        <v>3</v>
      </c>
      <c r="H152" s="17" t="n">
        <v>599</v>
      </c>
      <c r="I152" s="17" t="n">
        <v>1797</v>
      </c>
    </row>
    <row r="153">
      <c r="B153" s="15" t="n">
        <v>42975</v>
      </c>
      <c r="C153" t="inlineStr">
        <is>
          <t>Salzburg</t>
        </is>
      </c>
      <c r="D153" t="inlineStr">
        <is>
          <t>Wagner</t>
        </is>
      </c>
      <c r="E153" t="inlineStr">
        <is>
          <t>Apple</t>
        </is>
      </c>
      <c r="F153" t="inlineStr">
        <is>
          <t>iPhone X</t>
        </is>
      </c>
      <c r="G153" s="16" t="n">
        <v>3</v>
      </c>
      <c r="H153" s="17" t="n">
        <v>1149</v>
      </c>
      <c r="I153" s="17" t="n">
        <v>3447</v>
      </c>
    </row>
    <row r="154">
      <c r="B154" s="15" t="n">
        <v>42982</v>
      </c>
      <c r="C154" t="inlineStr">
        <is>
          <t>Wien</t>
        </is>
      </c>
      <c r="D154" t="inlineStr">
        <is>
          <t>Steiner</t>
        </is>
      </c>
      <c r="E154" t="inlineStr">
        <is>
          <t>Samsung</t>
        </is>
      </c>
      <c r="F154" t="inlineStr">
        <is>
          <t>Galaxy S9</t>
        </is>
      </c>
      <c r="G154" s="16" t="n">
        <v>7</v>
      </c>
      <c r="H154" s="17" t="n">
        <v>849</v>
      </c>
      <c r="I154" s="17" t="n">
        <v>5943</v>
      </c>
    </row>
    <row r="155">
      <c r="B155" s="15" t="n">
        <v>42983</v>
      </c>
      <c r="C155" t="inlineStr">
        <is>
          <t>Wien</t>
        </is>
      </c>
      <c r="D155" t="inlineStr">
        <is>
          <t>Wagner</t>
        </is>
      </c>
      <c r="E155" t="inlineStr">
        <is>
          <t>Sony</t>
        </is>
      </c>
      <c r="F155" t="inlineStr">
        <is>
          <t>Xperia L2</t>
        </is>
      </c>
      <c r="G155" s="16" t="n">
        <v>11</v>
      </c>
      <c r="H155" s="17" t="n">
        <v>249</v>
      </c>
      <c r="I155" s="17" t="n">
        <v>2739</v>
      </c>
    </row>
    <row r="156">
      <c r="B156" s="15" t="n">
        <v>42984</v>
      </c>
      <c r="C156" t="inlineStr">
        <is>
          <t>Wien</t>
        </is>
      </c>
      <c r="D156" t="inlineStr">
        <is>
          <t>Huber</t>
        </is>
      </c>
      <c r="E156" t="inlineStr">
        <is>
          <t>Sony</t>
        </is>
      </c>
      <c r="F156" t="inlineStr">
        <is>
          <t>Xperia L2</t>
        </is>
      </c>
      <c r="G156" s="16" t="n">
        <v>6</v>
      </c>
      <c r="H156" s="17" t="n">
        <v>249</v>
      </c>
      <c r="I156" s="17" t="n">
        <v>1494</v>
      </c>
    </row>
    <row r="157">
      <c r="B157" s="15" t="n">
        <v>42984</v>
      </c>
      <c r="C157" t="inlineStr">
        <is>
          <t>Graz</t>
        </is>
      </c>
      <c r="D157" t="inlineStr">
        <is>
          <t>Wagner</t>
        </is>
      </c>
      <c r="E157" t="inlineStr">
        <is>
          <t>Apple</t>
        </is>
      </c>
      <c r="F157" t="inlineStr">
        <is>
          <t>iPhone 8</t>
        </is>
      </c>
      <c r="G157" s="16" t="n">
        <v>11</v>
      </c>
      <c r="H157" s="17" t="n">
        <v>649</v>
      </c>
      <c r="I157" s="17" t="n">
        <v>7139</v>
      </c>
    </row>
    <row r="158">
      <c r="B158" s="15" t="n">
        <v>42985</v>
      </c>
      <c r="C158" t="inlineStr">
        <is>
          <t>Graz</t>
        </is>
      </c>
      <c r="D158" t="inlineStr">
        <is>
          <t>Berger</t>
        </is>
      </c>
      <c r="E158" t="inlineStr">
        <is>
          <t>Huawei</t>
        </is>
      </c>
      <c r="F158" t="inlineStr">
        <is>
          <t>P20</t>
        </is>
      </c>
      <c r="G158" s="16" t="n">
        <v>2</v>
      </c>
      <c r="H158" s="17" t="n">
        <v>499</v>
      </c>
      <c r="I158" s="17" t="n">
        <v>998</v>
      </c>
    </row>
    <row r="159">
      <c r="B159" s="15" t="n">
        <v>42986</v>
      </c>
      <c r="C159" t="inlineStr">
        <is>
          <t>Wien</t>
        </is>
      </c>
      <c r="D159" t="inlineStr">
        <is>
          <t>Hoffmann</t>
        </is>
      </c>
      <c r="E159" t="inlineStr">
        <is>
          <t>Apple</t>
        </is>
      </c>
      <c r="F159" t="inlineStr">
        <is>
          <t>iPhone 8</t>
        </is>
      </c>
      <c r="G159" s="16" t="n">
        <v>1</v>
      </c>
      <c r="H159" s="17" t="n">
        <v>649</v>
      </c>
      <c r="I159" s="17" t="n">
        <v>649</v>
      </c>
    </row>
    <row r="160">
      <c r="B160" s="15" t="n">
        <v>42987</v>
      </c>
      <c r="C160" t="inlineStr">
        <is>
          <t>Wien</t>
        </is>
      </c>
      <c r="D160" t="inlineStr">
        <is>
          <t>Wagner</t>
        </is>
      </c>
      <c r="E160" t="inlineStr">
        <is>
          <t>Sony</t>
        </is>
      </c>
      <c r="F160" t="inlineStr">
        <is>
          <t>Xperia L2</t>
        </is>
      </c>
      <c r="G160" s="16" t="n">
        <v>1</v>
      </c>
      <c r="H160" s="17" t="n">
        <v>249</v>
      </c>
      <c r="I160" s="17" t="n">
        <v>249</v>
      </c>
    </row>
    <row r="161">
      <c r="B161" s="15" t="n">
        <v>42988</v>
      </c>
      <c r="C161" t="inlineStr">
        <is>
          <t>Salzburg</t>
        </is>
      </c>
      <c r="D161" t="inlineStr">
        <is>
          <t>Moser</t>
        </is>
      </c>
      <c r="E161" t="inlineStr">
        <is>
          <t>Sony</t>
        </is>
      </c>
      <c r="F161" t="inlineStr">
        <is>
          <t>Xperia XZ2</t>
        </is>
      </c>
      <c r="G161" s="16" t="n">
        <v>6</v>
      </c>
      <c r="H161" s="17" t="n">
        <v>699</v>
      </c>
      <c r="I161" s="17" t="n">
        <v>4194</v>
      </c>
    </row>
    <row r="162">
      <c r="B162" s="15" t="n">
        <v>42990</v>
      </c>
      <c r="C162" t="inlineStr">
        <is>
          <t>Linz</t>
        </is>
      </c>
      <c r="D162" t="inlineStr">
        <is>
          <t>Huber</t>
        </is>
      </c>
      <c r="E162" t="inlineStr">
        <is>
          <t>Samsung</t>
        </is>
      </c>
      <c r="F162" t="inlineStr">
        <is>
          <t>Galaxy Tab</t>
        </is>
      </c>
      <c r="G162" s="16" t="n">
        <v>1</v>
      </c>
      <c r="H162" s="17" t="n">
        <v>379</v>
      </c>
      <c r="I162" s="17" t="n">
        <v>379</v>
      </c>
    </row>
    <row r="163">
      <c r="B163" s="15" t="n">
        <v>42991</v>
      </c>
      <c r="C163" t="inlineStr">
        <is>
          <t>Graz</t>
        </is>
      </c>
      <c r="D163" t="inlineStr">
        <is>
          <t>Hoffmann</t>
        </is>
      </c>
      <c r="E163" t="inlineStr">
        <is>
          <t>Samsung</t>
        </is>
      </c>
      <c r="F163" t="inlineStr">
        <is>
          <t>Galaxy Tab</t>
        </is>
      </c>
      <c r="G163" s="16" t="n">
        <v>7</v>
      </c>
      <c r="H163" s="17" t="n">
        <v>379</v>
      </c>
      <c r="I163" s="17" t="n">
        <v>2653</v>
      </c>
    </row>
    <row r="164">
      <c r="B164" s="15" t="n">
        <v>42993</v>
      </c>
      <c r="C164" t="inlineStr">
        <is>
          <t>Linz</t>
        </is>
      </c>
      <c r="D164" t="inlineStr">
        <is>
          <t>Berger</t>
        </is>
      </c>
      <c r="E164" t="inlineStr">
        <is>
          <t>Samsung</t>
        </is>
      </c>
      <c r="F164" t="inlineStr">
        <is>
          <t>Galaxy S9</t>
        </is>
      </c>
      <c r="G164" s="16" t="n">
        <v>2</v>
      </c>
      <c r="H164" s="17" t="n">
        <v>849</v>
      </c>
      <c r="I164" s="17" t="n">
        <v>1698</v>
      </c>
    </row>
    <row r="165">
      <c r="B165" s="15" t="n">
        <v>42995</v>
      </c>
      <c r="C165" t="inlineStr">
        <is>
          <t>Graz</t>
        </is>
      </c>
      <c r="D165" t="inlineStr">
        <is>
          <t>Berger</t>
        </is>
      </c>
      <c r="E165" t="inlineStr">
        <is>
          <t>Huawei</t>
        </is>
      </c>
      <c r="F165" t="inlineStr">
        <is>
          <t>P20 Pro</t>
        </is>
      </c>
      <c r="G165" s="16" t="n">
        <v>5</v>
      </c>
      <c r="H165" s="17" t="n">
        <v>799</v>
      </c>
      <c r="I165" s="17" t="n">
        <v>3995</v>
      </c>
    </row>
    <row r="166">
      <c r="B166" s="15" t="n">
        <v>42997</v>
      </c>
      <c r="C166" t="inlineStr">
        <is>
          <t>Linz</t>
        </is>
      </c>
      <c r="D166" t="inlineStr">
        <is>
          <t>Hoffmann</t>
        </is>
      </c>
      <c r="E166" t="inlineStr">
        <is>
          <t>Samsung</t>
        </is>
      </c>
      <c r="F166" t="inlineStr">
        <is>
          <t>Galaxy Tab</t>
        </is>
      </c>
      <c r="G166" s="16" t="n">
        <v>11</v>
      </c>
      <c r="H166" s="17" t="n">
        <v>379</v>
      </c>
      <c r="I166" s="17" t="n">
        <v>4169</v>
      </c>
    </row>
    <row r="167">
      <c r="B167" s="15" t="n">
        <v>42998</v>
      </c>
      <c r="C167" t="inlineStr">
        <is>
          <t>Wien</t>
        </is>
      </c>
      <c r="D167" t="inlineStr">
        <is>
          <t>Hoffmann</t>
        </is>
      </c>
      <c r="E167" t="inlineStr">
        <is>
          <t>Samsung</t>
        </is>
      </c>
      <c r="F167" t="inlineStr">
        <is>
          <t>Galaxy S9</t>
        </is>
      </c>
      <c r="G167" s="16" t="n">
        <v>11</v>
      </c>
      <c r="H167" s="17" t="n">
        <v>849</v>
      </c>
      <c r="I167" s="17" t="n">
        <v>9339</v>
      </c>
    </row>
    <row r="168">
      <c r="B168" s="15" t="n">
        <v>42998</v>
      </c>
      <c r="C168" t="inlineStr">
        <is>
          <t>Linz</t>
        </is>
      </c>
      <c r="D168" t="inlineStr">
        <is>
          <t>Huber</t>
        </is>
      </c>
      <c r="E168" t="inlineStr">
        <is>
          <t>Apple</t>
        </is>
      </c>
      <c r="F168" t="inlineStr">
        <is>
          <t>MacBook Air</t>
        </is>
      </c>
      <c r="G168" s="16" t="n">
        <v>3</v>
      </c>
      <c r="H168" s="17" t="n">
        <v>1199</v>
      </c>
      <c r="I168" s="17" t="n">
        <v>3597</v>
      </c>
    </row>
    <row r="169">
      <c r="B169" s="15" t="n">
        <v>43002</v>
      </c>
      <c r="C169" t="inlineStr">
        <is>
          <t>Graz</t>
        </is>
      </c>
      <c r="D169" t="inlineStr">
        <is>
          <t>Berger</t>
        </is>
      </c>
      <c r="E169" t="inlineStr">
        <is>
          <t>Samsung</t>
        </is>
      </c>
      <c r="F169" t="inlineStr">
        <is>
          <t>Galaxy S8</t>
        </is>
      </c>
      <c r="G169" s="16" t="n">
        <v>6</v>
      </c>
      <c r="H169" s="17" t="n">
        <v>599</v>
      </c>
      <c r="I169" s="17" t="n">
        <v>3594</v>
      </c>
    </row>
    <row r="170">
      <c r="B170" s="15" t="n">
        <v>43004</v>
      </c>
      <c r="C170" t="inlineStr">
        <is>
          <t>Salzburg</t>
        </is>
      </c>
      <c r="D170" t="inlineStr">
        <is>
          <t>Moser</t>
        </is>
      </c>
      <c r="E170" t="inlineStr">
        <is>
          <t>Sony</t>
        </is>
      </c>
      <c r="F170" t="inlineStr">
        <is>
          <t>Xperia L2</t>
        </is>
      </c>
      <c r="G170" s="16" t="n">
        <v>6</v>
      </c>
      <c r="H170" s="17" t="n">
        <v>249</v>
      </c>
      <c r="I170" s="17" t="n">
        <v>1494</v>
      </c>
    </row>
    <row r="171">
      <c r="B171" s="15" t="n">
        <v>43009</v>
      </c>
      <c r="C171" t="inlineStr">
        <is>
          <t>Salzburg</t>
        </is>
      </c>
      <c r="D171" t="inlineStr">
        <is>
          <t>Wagner</t>
        </is>
      </c>
      <c r="E171" t="inlineStr">
        <is>
          <t>Apple</t>
        </is>
      </c>
      <c r="F171" t="inlineStr">
        <is>
          <t>iPhone 8</t>
        </is>
      </c>
      <c r="G171" s="16" t="n">
        <v>7</v>
      </c>
      <c r="H171" s="17" t="n">
        <v>649</v>
      </c>
      <c r="I171" s="17" t="n">
        <v>4543</v>
      </c>
    </row>
    <row r="172">
      <c r="B172" s="15" t="n">
        <v>43010</v>
      </c>
      <c r="C172" t="inlineStr">
        <is>
          <t>Linz</t>
        </is>
      </c>
      <c r="D172" t="inlineStr">
        <is>
          <t>Wagner</t>
        </is>
      </c>
      <c r="E172" t="inlineStr">
        <is>
          <t>Apple</t>
        </is>
      </c>
      <c r="F172" t="inlineStr">
        <is>
          <t>MacBook Air</t>
        </is>
      </c>
      <c r="G172" s="16" t="n">
        <v>7</v>
      </c>
      <c r="H172" s="17" t="n">
        <v>1199</v>
      </c>
      <c r="I172" s="17" t="n">
        <v>8393</v>
      </c>
    </row>
    <row r="173">
      <c r="B173" s="15" t="n">
        <v>43010</v>
      </c>
      <c r="C173" t="inlineStr">
        <is>
          <t>Linz</t>
        </is>
      </c>
      <c r="D173" t="inlineStr">
        <is>
          <t>Berger</t>
        </is>
      </c>
      <c r="E173" t="inlineStr">
        <is>
          <t>Samsung</t>
        </is>
      </c>
      <c r="F173" t="inlineStr">
        <is>
          <t>Galaxy S9</t>
        </is>
      </c>
      <c r="G173" s="16" t="n">
        <v>7</v>
      </c>
      <c r="H173" s="17" t="n">
        <v>849</v>
      </c>
      <c r="I173" s="17" t="n">
        <v>5943</v>
      </c>
    </row>
    <row r="174">
      <c r="B174" s="15" t="n">
        <v>43010</v>
      </c>
      <c r="C174" t="inlineStr">
        <is>
          <t>Salzburg</t>
        </is>
      </c>
      <c r="D174" t="inlineStr">
        <is>
          <t>Huber</t>
        </is>
      </c>
      <c r="E174" t="inlineStr">
        <is>
          <t>Samsung</t>
        </is>
      </c>
      <c r="F174" t="inlineStr">
        <is>
          <t>Galaxy Tab</t>
        </is>
      </c>
      <c r="G174" s="16" t="n">
        <v>10</v>
      </c>
      <c r="H174" s="17" t="n">
        <v>379</v>
      </c>
      <c r="I174" s="17" t="n">
        <v>3790</v>
      </c>
    </row>
    <row r="175">
      <c r="B175" s="15" t="n">
        <v>43011</v>
      </c>
      <c r="C175" t="inlineStr">
        <is>
          <t>Graz</t>
        </is>
      </c>
      <c r="D175" t="inlineStr">
        <is>
          <t>Moser</t>
        </is>
      </c>
      <c r="E175" t="inlineStr">
        <is>
          <t>Apple</t>
        </is>
      </c>
      <c r="F175" t="inlineStr">
        <is>
          <t>iPhone X</t>
        </is>
      </c>
      <c r="G175" s="16" t="n">
        <v>7</v>
      </c>
      <c r="H175" s="17" t="n">
        <v>1149</v>
      </c>
      <c r="I175" s="17" t="n">
        <v>8043</v>
      </c>
    </row>
    <row r="176">
      <c r="B176" s="15" t="n">
        <v>43012</v>
      </c>
      <c r="C176" t="inlineStr">
        <is>
          <t>Linz</t>
        </is>
      </c>
      <c r="D176" t="inlineStr">
        <is>
          <t>Wagner</t>
        </is>
      </c>
      <c r="E176" t="inlineStr">
        <is>
          <t>Huawei</t>
        </is>
      </c>
      <c r="F176" t="inlineStr">
        <is>
          <t>MediaPad</t>
        </is>
      </c>
      <c r="G176" s="16" t="n">
        <v>11</v>
      </c>
      <c r="H176" s="17" t="n">
        <v>269</v>
      </c>
      <c r="I176" s="17" t="n">
        <v>2959</v>
      </c>
    </row>
    <row r="177">
      <c r="B177" s="15" t="n">
        <v>43012</v>
      </c>
      <c r="C177" t="inlineStr">
        <is>
          <t>Salzburg</t>
        </is>
      </c>
      <c r="D177" t="inlineStr">
        <is>
          <t>Wagner</t>
        </is>
      </c>
      <c r="E177" t="inlineStr">
        <is>
          <t>Apple</t>
        </is>
      </c>
      <c r="F177" t="inlineStr">
        <is>
          <t>iPhone X</t>
        </is>
      </c>
      <c r="G177" s="16" t="n">
        <v>7</v>
      </c>
      <c r="H177" s="17" t="n">
        <v>1149</v>
      </c>
      <c r="I177" s="17" t="n">
        <v>8043</v>
      </c>
    </row>
    <row r="178">
      <c r="B178" s="15" t="n">
        <v>43013</v>
      </c>
      <c r="C178" t="inlineStr">
        <is>
          <t>Linz</t>
        </is>
      </c>
      <c r="D178" t="inlineStr">
        <is>
          <t>Huber</t>
        </is>
      </c>
      <c r="E178" t="inlineStr">
        <is>
          <t>Huawei</t>
        </is>
      </c>
      <c r="F178" t="inlineStr">
        <is>
          <t>P20</t>
        </is>
      </c>
      <c r="G178" s="16" t="n">
        <v>10</v>
      </c>
      <c r="H178" s="17" t="n">
        <v>499</v>
      </c>
      <c r="I178" s="17" t="n">
        <v>4990</v>
      </c>
    </row>
    <row r="179">
      <c r="B179" s="15" t="n">
        <v>43014</v>
      </c>
      <c r="C179" t="inlineStr">
        <is>
          <t>Salzburg</t>
        </is>
      </c>
      <c r="D179" t="inlineStr">
        <is>
          <t>Hoffmann</t>
        </is>
      </c>
      <c r="E179" t="inlineStr">
        <is>
          <t>Samsung</t>
        </is>
      </c>
      <c r="F179" t="inlineStr">
        <is>
          <t>Galaxy S8</t>
        </is>
      </c>
      <c r="G179" s="16" t="n">
        <v>10</v>
      </c>
      <c r="H179" s="17" t="n">
        <v>599</v>
      </c>
      <c r="I179" s="17" t="n">
        <v>5990</v>
      </c>
    </row>
    <row r="180">
      <c r="B180" s="15" t="n">
        <v>43018</v>
      </c>
      <c r="C180" t="inlineStr">
        <is>
          <t>Linz</t>
        </is>
      </c>
      <c r="D180" t="inlineStr">
        <is>
          <t>Huber</t>
        </is>
      </c>
      <c r="E180" t="inlineStr">
        <is>
          <t>Apple</t>
        </is>
      </c>
      <c r="F180" t="inlineStr">
        <is>
          <t>MacBook Air</t>
        </is>
      </c>
      <c r="G180" s="16" t="n">
        <v>11</v>
      </c>
      <c r="H180" s="17" t="n">
        <v>1199</v>
      </c>
      <c r="I180" s="17" t="n">
        <v>13189</v>
      </c>
    </row>
    <row r="181">
      <c r="B181" s="15" t="n">
        <v>43020</v>
      </c>
      <c r="C181" t="inlineStr">
        <is>
          <t>Wien</t>
        </is>
      </c>
      <c r="D181" t="inlineStr">
        <is>
          <t>Berger</t>
        </is>
      </c>
      <c r="E181" t="inlineStr">
        <is>
          <t>Huawei</t>
        </is>
      </c>
      <c r="F181" t="inlineStr">
        <is>
          <t>MediaPad</t>
        </is>
      </c>
      <c r="G181" s="16" t="n">
        <v>9</v>
      </c>
      <c r="H181" s="17" t="n">
        <v>269</v>
      </c>
      <c r="I181" s="17" t="n">
        <v>2421</v>
      </c>
    </row>
    <row r="182">
      <c r="B182" s="15" t="n">
        <v>43021</v>
      </c>
      <c r="C182" t="inlineStr">
        <is>
          <t>Salzburg</t>
        </is>
      </c>
      <c r="D182" t="inlineStr">
        <is>
          <t>Moser</t>
        </is>
      </c>
      <c r="E182" t="inlineStr">
        <is>
          <t>Huawei</t>
        </is>
      </c>
      <c r="F182" t="inlineStr">
        <is>
          <t>MediaPad</t>
        </is>
      </c>
      <c r="G182" s="16" t="n">
        <v>10</v>
      </c>
      <c r="H182" s="17" t="n">
        <v>269</v>
      </c>
      <c r="I182" s="17" t="n">
        <v>2690</v>
      </c>
    </row>
    <row r="183">
      <c r="B183" s="15" t="n">
        <v>43022</v>
      </c>
      <c r="C183" t="inlineStr">
        <is>
          <t>Salzburg</t>
        </is>
      </c>
      <c r="D183" t="inlineStr">
        <is>
          <t>Moser</t>
        </is>
      </c>
      <c r="E183" t="inlineStr">
        <is>
          <t>Samsung</t>
        </is>
      </c>
      <c r="F183" t="inlineStr">
        <is>
          <t>Galaxy S8</t>
        </is>
      </c>
      <c r="G183" s="16" t="n">
        <v>11</v>
      </c>
      <c r="H183" s="17" t="n">
        <v>599</v>
      </c>
      <c r="I183" s="17" t="n">
        <v>6589</v>
      </c>
    </row>
    <row r="184">
      <c r="B184" s="15" t="n">
        <v>43022</v>
      </c>
      <c r="C184" t="inlineStr">
        <is>
          <t>Graz</t>
        </is>
      </c>
      <c r="D184" t="inlineStr">
        <is>
          <t>Huber</t>
        </is>
      </c>
      <c r="E184" t="inlineStr">
        <is>
          <t>Apple</t>
        </is>
      </c>
      <c r="F184" t="inlineStr">
        <is>
          <t>iPhone 8</t>
        </is>
      </c>
      <c r="G184" s="16" t="n">
        <v>8</v>
      </c>
      <c r="H184" s="17" t="n">
        <v>649</v>
      </c>
      <c r="I184" s="17" t="n">
        <v>5192</v>
      </c>
    </row>
    <row r="185">
      <c r="B185" s="15" t="n">
        <v>43023</v>
      </c>
      <c r="C185" t="inlineStr">
        <is>
          <t>Salzburg</t>
        </is>
      </c>
      <c r="D185" t="inlineStr">
        <is>
          <t>Huber</t>
        </is>
      </c>
      <c r="E185" t="inlineStr">
        <is>
          <t>Apple</t>
        </is>
      </c>
      <c r="F185" t="inlineStr">
        <is>
          <t>iPhone X</t>
        </is>
      </c>
      <c r="G185" s="16" t="n">
        <v>5</v>
      </c>
      <c r="H185" s="17" t="n">
        <v>1149</v>
      </c>
      <c r="I185" s="17" t="n">
        <v>5745</v>
      </c>
    </row>
    <row r="186">
      <c r="B186" s="15" t="n">
        <v>43025</v>
      </c>
      <c r="C186" t="inlineStr">
        <is>
          <t>Salzburg</t>
        </is>
      </c>
      <c r="D186" t="inlineStr">
        <is>
          <t>Moser</t>
        </is>
      </c>
      <c r="E186" t="inlineStr">
        <is>
          <t>Apple</t>
        </is>
      </c>
      <c r="F186" t="inlineStr">
        <is>
          <t>iPhone 8</t>
        </is>
      </c>
      <c r="G186" s="16" t="n">
        <v>4</v>
      </c>
      <c r="H186" s="17" t="n">
        <v>649</v>
      </c>
      <c r="I186" s="17" t="n">
        <v>2596</v>
      </c>
    </row>
    <row r="187">
      <c r="B187" s="15" t="n">
        <v>43028</v>
      </c>
      <c r="C187" t="inlineStr">
        <is>
          <t>Salzburg</t>
        </is>
      </c>
      <c r="D187" t="inlineStr">
        <is>
          <t>Moser</t>
        </is>
      </c>
      <c r="E187" t="inlineStr">
        <is>
          <t>Apple</t>
        </is>
      </c>
      <c r="F187" t="inlineStr">
        <is>
          <t>iPad Air</t>
        </is>
      </c>
      <c r="G187" s="16" t="n">
        <v>12</v>
      </c>
      <c r="H187" s="17" t="n">
        <v>549</v>
      </c>
      <c r="I187" s="17" t="n">
        <v>6588</v>
      </c>
    </row>
    <row r="188">
      <c r="B188" s="15" t="n">
        <v>43029</v>
      </c>
      <c r="C188" t="inlineStr">
        <is>
          <t>Salzburg</t>
        </is>
      </c>
      <c r="D188" t="inlineStr">
        <is>
          <t>Berger</t>
        </is>
      </c>
      <c r="E188" t="inlineStr">
        <is>
          <t>Sony</t>
        </is>
      </c>
      <c r="F188" t="inlineStr">
        <is>
          <t>Xperia L2</t>
        </is>
      </c>
      <c r="G188" s="16" t="n">
        <v>7</v>
      </c>
      <c r="H188" s="17" t="n">
        <v>249</v>
      </c>
      <c r="I188" s="17" t="n">
        <v>1743</v>
      </c>
    </row>
    <row r="189">
      <c r="B189" s="15" t="n">
        <v>43030</v>
      </c>
      <c r="C189" t="inlineStr">
        <is>
          <t>Wien</t>
        </is>
      </c>
      <c r="D189" t="inlineStr">
        <is>
          <t>Hoffmann</t>
        </is>
      </c>
      <c r="E189" t="inlineStr">
        <is>
          <t>Samsung</t>
        </is>
      </c>
      <c r="F189" t="inlineStr">
        <is>
          <t>Galaxy S8</t>
        </is>
      </c>
      <c r="G189" s="16" t="n">
        <v>11</v>
      </c>
      <c r="H189" s="17" t="n">
        <v>599</v>
      </c>
      <c r="I189" s="17" t="n">
        <v>6589</v>
      </c>
    </row>
    <row r="190">
      <c r="B190" s="15" t="n">
        <v>43030</v>
      </c>
      <c r="C190" t="inlineStr">
        <is>
          <t>Linz</t>
        </is>
      </c>
      <c r="D190" t="inlineStr">
        <is>
          <t>Berger</t>
        </is>
      </c>
      <c r="E190" t="inlineStr">
        <is>
          <t>Samsung</t>
        </is>
      </c>
      <c r="F190" t="inlineStr">
        <is>
          <t>Galaxy Tab</t>
        </is>
      </c>
      <c r="G190" s="16" t="n">
        <v>3</v>
      </c>
      <c r="H190" s="17" t="n">
        <v>379</v>
      </c>
      <c r="I190" s="17" t="n">
        <v>1137</v>
      </c>
    </row>
    <row r="191">
      <c r="B191" s="15" t="n">
        <v>43033</v>
      </c>
      <c r="C191" t="inlineStr">
        <is>
          <t>Salzburg</t>
        </is>
      </c>
      <c r="D191" t="inlineStr">
        <is>
          <t>Hoffmann</t>
        </is>
      </c>
      <c r="E191" t="inlineStr">
        <is>
          <t>Huawei</t>
        </is>
      </c>
      <c r="F191" t="inlineStr">
        <is>
          <t>MediaPad</t>
        </is>
      </c>
      <c r="G191" s="16" t="n">
        <v>11</v>
      </c>
      <c r="H191" s="17" t="n">
        <v>269</v>
      </c>
      <c r="I191" s="17" t="n">
        <v>2959</v>
      </c>
    </row>
    <row r="192">
      <c r="B192" s="15" t="n">
        <v>43042</v>
      </c>
      <c r="C192" t="inlineStr">
        <is>
          <t>Graz</t>
        </is>
      </c>
      <c r="D192" t="inlineStr">
        <is>
          <t>Moser</t>
        </is>
      </c>
      <c r="E192" t="inlineStr">
        <is>
          <t>Apple</t>
        </is>
      </c>
      <c r="F192" t="inlineStr">
        <is>
          <t>iPad Air</t>
        </is>
      </c>
      <c r="G192" s="16" t="n">
        <v>10</v>
      </c>
      <c r="H192" s="17" t="n">
        <v>549</v>
      </c>
      <c r="I192" s="17" t="n">
        <v>5490</v>
      </c>
    </row>
    <row r="193">
      <c r="B193" s="15" t="n">
        <v>43044</v>
      </c>
      <c r="C193" t="inlineStr">
        <is>
          <t>Salzburg</t>
        </is>
      </c>
      <c r="D193" t="inlineStr">
        <is>
          <t>Huber</t>
        </is>
      </c>
      <c r="E193" t="inlineStr">
        <is>
          <t>Samsung</t>
        </is>
      </c>
      <c r="F193" t="inlineStr">
        <is>
          <t>Galaxy Tab</t>
        </is>
      </c>
      <c r="G193" s="16" t="n">
        <v>4</v>
      </c>
      <c r="H193" s="17" t="n">
        <v>379</v>
      </c>
      <c r="I193" s="17" t="n">
        <v>1516</v>
      </c>
    </row>
    <row r="194">
      <c r="B194" s="15" t="n">
        <v>43046</v>
      </c>
      <c r="C194" t="inlineStr">
        <is>
          <t>Linz</t>
        </is>
      </c>
      <c r="D194" t="inlineStr">
        <is>
          <t>Huber</t>
        </is>
      </c>
      <c r="E194" t="inlineStr">
        <is>
          <t>Apple</t>
        </is>
      </c>
      <c r="F194" t="inlineStr">
        <is>
          <t>iPhone 8</t>
        </is>
      </c>
      <c r="G194" s="16" t="n">
        <v>9</v>
      </c>
      <c r="H194" s="17" t="n">
        <v>649</v>
      </c>
      <c r="I194" s="17" t="n">
        <v>5841</v>
      </c>
    </row>
    <row r="195">
      <c r="B195" s="15" t="n">
        <v>43047</v>
      </c>
      <c r="C195" t="inlineStr">
        <is>
          <t>Linz</t>
        </is>
      </c>
      <c r="D195" t="inlineStr">
        <is>
          <t>Steiner</t>
        </is>
      </c>
      <c r="E195" t="inlineStr">
        <is>
          <t>Huawei</t>
        </is>
      </c>
      <c r="F195" t="inlineStr">
        <is>
          <t>MediaPad</t>
        </is>
      </c>
      <c r="G195" s="16" t="n">
        <v>7</v>
      </c>
      <c r="H195" s="17" t="n">
        <v>269</v>
      </c>
      <c r="I195" s="17" t="n">
        <v>1883</v>
      </c>
    </row>
    <row r="196">
      <c r="B196" s="15" t="n">
        <v>43047</v>
      </c>
      <c r="C196" t="inlineStr">
        <is>
          <t>Linz</t>
        </is>
      </c>
      <c r="D196" t="inlineStr">
        <is>
          <t>Huber</t>
        </is>
      </c>
      <c r="E196" t="inlineStr">
        <is>
          <t>Samsung</t>
        </is>
      </c>
      <c r="F196" t="inlineStr">
        <is>
          <t>Galaxy S9</t>
        </is>
      </c>
      <c r="G196" s="16" t="n">
        <v>7</v>
      </c>
      <c r="H196" s="17" t="n">
        <v>849</v>
      </c>
      <c r="I196" s="17" t="n">
        <v>5943</v>
      </c>
    </row>
    <row r="197">
      <c r="B197" s="15" t="n">
        <v>43047</v>
      </c>
      <c r="C197" t="inlineStr">
        <is>
          <t>Graz</t>
        </is>
      </c>
      <c r="D197" t="inlineStr">
        <is>
          <t>Moser</t>
        </is>
      </c>
      <c r="E197" t="inlineStr">
        <is>
          <t>Samsung</t>
        </is>
      </c>
      <c r="F197" t="inlineStr">
        <is>
          <t>Galaxy S9</t>
        </is>
      </c>
      <c r="G197" s="16" t="n">
        <v>4</v>
      </c>
      <c r="H197" s="17" t="n">
        <v>849</v>
      </c>
      <c r="I197" s="17" t="n">
        <v>3396</v>
      </c>
    </row>
    <row r="198">
      <c r="B198" s="15" t="n">
        <v>43048</v>
      </c>
      <c r="C198" t="inlineStr">
        <is>
          <t>Graz</t>
        </is>
      </c>
      <c r="D198" t="inlineStr">
        <is>
          <t>Steiner</t>
        </is>
      </c>
      <c r="E198" t="inlineStr">
        <is>
          <t>Sony</t>
        </is>
      </c>
      <c r="F198" t="inlineStr">
        <is>
          <t>Xperia XZ2</t>
        </is>
      </c>
      <c r="G198" s="16" t="n">
        <v>1</v>
      </c>
      <c r="H198" s="17" t="n">
        <v>699</v>
      </c>
      <c r="I198" s="17" t="n">
        <v>699</v>
      </c>
    </row>
    <row r="199">
      <c r="B199" s="15" t="n">
        <v>43049</v>
      </c>
      <c r="C199" t="inlineStr">
        <is>
          <t>Graz</t>
        </is>
      </c>
      <c r="D199" t="inlineStr">
        <is>
          <t>Moser</t>
        </is>
      </c>
      <c r="E199" t="inlineStr">
        <is>
          <t>Apple</t>
        </is>
      </c>
      <c r="F199" t="inlineStr">
        <is>
          <t>iPhone 8</t>
        </is>
      </c>
      <c r="G199" s="16" t="n">
        <v>5</v>
      </c>
      <c r="H199" s="17" t="n">
        <v>649</v>
      </c>
      <c r="I199" s="17" t="n">
        <v>3245</v>
      </c>
    </row>
    <row r="200">
      <c r="B200" s="15" t="n">
        <v>43051</v>
      </c>
      <c r="C200" t="inlineStr">
        <is>
          <t>Graz</t>
        </is>
      </c>
      <c r="D200" t="inlineStr">
        <is>
          <t>Wagner</t>
        </is>
      </c>
      <c r="E200" t="inlineStr">
        <is>
          <t>Apple</t>
        </is>
      </c>
      <c r="F200" t="inlineStr">
        <is>
          <t>MacBook Air</t>
        </is>
      </c>
      <c r="G200" s="16" t="n">
        <v>11</v>
      </c>
      <c r="H200" s="17" t="n">
        <v>1199</v>
      </c>
      <c r="I200" s="17" t="n">
        <v>13189</v>
      </c>
    </row>
    <row r="201">
      <c r="B201" s="15" t="n">
        <v>43051</v>
      </c>
      <c r="C201" t="inlineStr">
        <is>
          <t>Linz</t>
        </is>
      </c>
      <c r="D201" t="inlineStr">
        <is>
          <t>Moser</t>
        </is>
      </c>
      <c r="E201" t="inlineStr">
        <is>
          <t>Sony</t>
        </is>
      </c>
      <c r="F201" t="inlineStr">
        <is>
          <t>Xperia XZ2</t>
        </is>
      </c>
      <c r="G201" s="16" t="n">
        <v>9</v>
      </c>
      <c r="H201" s="17" t="n">
        <v>699</v>
      </c>
      <c r="I201" s="17" t="n">
        <v>6291</v>
      </c>
    </row>
    <row r="202">
      <c r="B202" s="15" t="n">
        <v>43072</v>
      </c>
      <c r="C202" t="inlineStr">
        <is>
          <t>Graz</t>
        </is>
      </c>
      <c r="D202" t="inlineStr">
        <is>
          <t>Steiner</t>
        </is>
      </c>
      <c r="E202" t="inlineStr">
        <is>
          <t>Apple</t>
        </is>
      </c>
      <c r="F202" t="inlineStr">
        <is>
          <t>iPhone X</t>
        </is>
      </c>
      <c r="G202" s="16" t="n">
        <v>4</v>
      </c>
      <c r="H202" s="17" t="n">
        <v>1149</v>
      </c>
      <c r="I202" s="17" t="n">
        <v>4596</v>
      </c>
    </row>
    <row r="203">
      <c r="B203" s="15" t="n">
        <v>43072</v>
      </c>
      <c r="C203" t="inlineStr">
        <is>
          <t>Salzburg</t>
        </is>
      </c>
      <c r="D203" t="inlineStr">
        <is>
          <t>Moser</t>
        </is>
      </c>
      <c r="E203" t="inlineStr">
        <is>
          <t>Sony</t>
        </is>
      </c>
      <c r="F203" t="inlineStr">
        <is>
          <t>Xperia L2</t>
        </is>
      </c>
      <c r="G203" s="16" t="n">
        <v>9</v>
      </c>
      <c r="H203" s="17" t="n">
        <v>249</v>
      </c>
      <c r="I203" s="17" t="n">
        <v>2241</v>
      </c>
    </row>
    <row r="204">
      <c r="B204" s="15" t="n">
        <v>43073</v>
      </c>
      <c r="C204" t="inlineStr">
        <is>
          <t>Wien</t>
        </is>
      </c>
      <c r="D204" t="inlineStr">
        <is>
          <t>Berger</t>
        </is>
      </c>
      <c r="E204" t="inlineStr">
        <is>
          <t>Apple</t>
        </is>
      </c>
      <c r="F204" t="inlineStr">
        <is>
          <t>iPad Air</t>
        </is>
      </c>
      <c r="G204" s="16" t="n">
        <v>8</v>
      </c>
      <c r="H204" s="17" t="n">
        <v>549</v>
      </c>
      <c r="I204" s="17" t="n">
        <v>4392</v>
      </c>
    </row>
    <row r="205">
      <c r="B205" s="15" t="n">
        <v>43074</v>
      </c>
      <c r="C205" t="inlineStr">
        <is>
          <t>Wien</t>
        </is>
      </c>
      <c r="D205" t="inlineStr">
        <is>
          <t>Hoffmann</t>
        </is>
      </c>
      <c r="E205" t="inlineStr">
        <is>
          <t>Apple</t>
        </is>
      </c>
      <c r="F205" t="inlineStr">
        <is>
          <t>iPad Air</t>
        </is>
      </c>
      <c r="G205" s="16" t="n">
        <v>3</v>
      </c>
      <c r="H205" s="17" t="n">
        <v>549</v>
      </c>
      <c r="I205" s="17" t="n">
        <v>1647</v>
      </c>
    </row>
    <row r="206">
      <c r="B206" s="15" t="n">
        <v>43076</v>
      </c>
      <c r="C206" t="inlineStr">
        <is>
          <t>Salzburg</t>
        </is>
      </c>
      <c r="D206" t="inlineStr">
        <is>
          <t>Moser</t>
        </is>
      </c>
      <c r="E206" t="inlineStr">
        <is>
          <t>Apple</t>
        </is>
      </c>
      <c r="F206" t="inlineStr">
        <is>
          <t>iPad Air</t>
        </is>
      </c>
      <c r="G206" s="16" t="n">
        <v>2</v>
      </c>
      <c r="H206" s="17" t="n">
        <v>549</v>
      </c>
      <c r="I206" s="17" t="n">
        <v>1098</v>
      </c>
    </row>
    <row r="207">
      <c r="B207" s="15" t="n">
        <v>43076</v>
      </c>
      <c r="C207" t="inlineStr">
        <is>
          <t>Graz</t>
        </is>
      </c>
      <c r="D207" t="inlineStr">
        <is>
          <t>Huber</t>
        </is>
      </c>
      <c r="E207" t="inlineStr">
        <is>
          <t>Huawei</t>
        </is>
      </c>
      <c r="F207" t="inlineStr">
        <is>
          <t>P20</t>
        </is>
      </c>
      <c r="G207" s="16" t="n">
        <v>6</v>
      </c>
      <c r="H207" s="17" t="n">
        <v>499</v>
      </c>
      <c r="I207" s="17" t="n">
        <v>2994</v>
      </c>
    </row>
    <row r="208">
      <c r="B208" s="15" t="n">
        <v>43078</v>
      </c>
      <c r="C208" t="inlineStr">
        <is>
          <t>Wien</t>
        </is>
      </c>
      <c r="D208" t="inlineStr">
        <is>
          <t>Berger</t>
        </is>
      </c>
      <c r="E208" t="inlineStr">
        <is>
          <t>Huawei</t>
        </is>
      </c>
      <c r="F208" t="inlineStr">
        <is>
          <t>P20</t>
        </is>
      </c>
      <c r="G208" s="16" t="n">
        <v>6</v>
      </c>
      <c r="H208" s="17" t="n">
        <v>499</v>
      </c>
      <c r="I208" s="17" t="n">
        <v>2994</v>
      </c>
    </row>
    <row r="209">
      <c r="B209" s="15" t="n">
        <v>43079</v>
      </c>
      <c r="C209" t="inlineStr">
        <is>
          <t>Linz</t>
        </is>
      </c>
      <c r="D209" t="inlineStr">
        <is>
          <t>Hoffmann</t>
        </is>
      </c>
      <c r="E209" t="inlineStr">
        <is>
          <t>Huawei</t>
        </is>
      </c>
      <c r="F209" t="inlineStr">
        <is>
          <t>P20</t>
        </is>
      </c>
      <c r="G209" s="16" t="n">
        <v>11</v>
      </c>
      <c r="H209" s="17" t="n">
        <v>499</v>
      </c>
      <c r="I209" s="17" t="n">
        <v>5489</v>
      </c>
    </row>
    <row r="210">
      <c r="B210" s="15" t="n">
        <v>43081</v>
      </c>
      <c r="C210" t="inlineStr">
        <is>
          <t>Graz</t>
        </is>
      </c>
      <c r="D210" t="inlineStr">
        <is>
          <t>Hoffmann</t>
        </is>
      </c>
      <c r="E210" t="inlineStr">
        <is>
          <t>Apple</t>
        </is>
      </c>
      <c r="F210" t="inlineStr">
        <is>
          <t>iPad Air</t>
        </is>
      </c>
      <c r="G210" s="16" t="n">
        <v>5</v>
      </c>
      <c r="H210" s="17" t="n">
        <v>549</v>
      </c>
      <c r="I210" s="17" t="n">
        <v>2745</v>
      </c>
    </row>
    <row r="211">
      <c r="B211" s="15" t="n">
        <v>43082</v>
      </c>
      <c r="C211" t="inlineStr">
        <is>
          <t>Linz</t>
        </is>
      </c>
      <c r="D211" t="inlineStr">
        <is>
          <t>Wagner</t>
        </is>
      </c>
      <c r="E211" t="inlineStr">
        <is>
          <t>Samsung</t>
        </is>
      </c>
      <c r="F211" t="inlineStr">
        <is>
          <t>Galaxy S9</t>
        </is>
      </c>
      <c r="G211" s="16" t="n">
        <v>7</v>
      </c>
      <c r="H211" s="17" t="n">
        <v>849</v>
      </c>
      <c r="I211" s="17" t="n">
        <v>5943</v>
      </c>
    </row>
    <row r="212">
      <c r="B212" s="15" t="n">
        <v>43086</v>
      </c>
      <c r="C212" t="inlineStr">
        <is>
          <t>Wien</t>
        </is>
      </c>
      <c r="D212" t="inlineStr">
        <is>
          <t>Hoffmann</t>
        </is>
      </c>
      <c r="E212" t="inlineStr">
        <is>
          <t>Huawei</t>
        </is>
      </c>
      <c r="F212" t="inlineStr">
        <is>
          <t>P20 Pro</t>
        </is>
      </c>
      <c r="G212" s="16" t="n">
        <v>5</v>
      </c>
      <c r="H212" s="17" t="n">
        <v>799</v>
      </c>
      <c r="I212" s="17" t="n">
        <v>3995</v>
      </c>
    </row>
    <row r="213">
      <c r="B213" s="15" t="n">
        <v>43086</v>
      </c>
      <c r="C213" t="inlineStr">
        <is>
          <t>Linz</t>
        </is>
      </c>
      <c r="D213" t="inlineStr">
        <is>
          <t>Wagner</t>
        </is>
      </c>
      <c r="E213" t="inlineStr">
        <is>
          <t>Samsung</t>
        </is>
      </c>
      <c r="F213" t="inlineStr">
        <is>
          <t>Galaxy S9</t>
        </is>
      </c>
      <c r="G213" s="16" t="n">
        <v>11</v>
      </c>
      <c r="H213" s="17" t="n">
        <v>849</v>
      </c>
      <c r="I213" s="17" t="n">
        <v>9339</v>
      </c>
    </row>
    <row r="214">
      <c r="B214" s="15" t="n">
        <v>43088</v>
      </c>
      <c r="C214" t="inlineStr">
        <is>
          <t>Salzburg</t>
        </is>
      </c>
      <c r="D214" t="inlineStr">
        <is>
          <t>Moser</t>
        </is>
      </c>
      <c r="E214" t="inlineStr">
        <is>
          <t>Apple</t>
        </is>
      </c>
      <c r="F214" t="inlineStr">
        <is>
          <t>iPhone X</t>
        </is>
      </c>
      <c r="G214" s="16" t="n">
        <v>5</v>
      </c>
      <c r="H214" s="17" t="n">
        <v>1149</v>
      </c>
      <c r="I214" s="17" t="n">
        <v>5745</v>
      </c>
    </row>
    <row r="215">
      <c r="B215" s="15" t="n">
        <v>43090</v>
      </c>
      <c r="C215" t="inlineStr">
        <is>
          <t>Graz</t>
        </is>
      </c>
      <c r="D215" t="inlineStr">
        <is>
          <t>Hoffmann</t>
        </is>
      </c>
      <c r="E215" t="inlineStr">
        <is>
          <t>Apple</t>
        </is>
      </c>
      <c r="F215" t="inlineStr">
        <is>
          <t>iPad Air</t>
        </is>
      </c>
      <c r="G215" s="16" t="n">
        <v>11</v>
      </c>
      <c r="H215" s="17" t="n">
        <v>549</v>
      </c>
      <c r="I215" s="17" t="n">
        <v>6039</v>
      </c>
    </row>
    <row r="216">
      <c r="B216" s="15" t="n">
        <v>43092</v>
      </c>
      <c r="C216" t="inlineStr">
        <is>
          <t>Graz</t>
        </is>
      </c>
      <c r="D216" t="inlineStr">
        <is>
          <t>Steiner</t>
        </is>
      </c>
      <c r="E216" t="inlineStr">
        <is>
          <t>Sony</t>
        </is>
      </c>
      <c r="F216" t="inlineStr">
        <is>
          <t>Xperia L2</t>
        </is>
      </c>
      <c r="G216" s="16" t="n">
        <v>11</v>
      </c>
      <c r="H216" s="17" t="n">
        <v>249</v>
      </c>
      <c r="I216" s="17" t="n">
        <v>2739</v>
      </c>
    </row>
    <row r="217">
      <c r="B217" s="15" t="n">
        <v>43094</v>
      </c>
      <c r="C217" t="inlineStr">
        <is>
          <t>Graz</t>
        </is>
      </c>
      <c r="D217" t="inlineStr">
        <is>
          <t>Hoffmann</t>
        </is>
      </c>
      <c r="E217" t="inlineStr">
        <is>
          <t>Samsung</t>
        </is>
      </c>
      <c r="F217" t="inlineStr">
        <is>
          <t>Galaxy Tab</t>
        </is>
      </c>
      <c r="G217" s="16" t="n">
        <v>4</v>
      </c>
      <c r="H217" s="17" t="n">
        <v>379</v>
      </c>
      <c r="I217" s="17" t="n">
        <v>1516</v>
      </c>
    </row>
    <row r="218">
      <c r="B218" s="15" t="n">
        <v>43095</v>
      </c>
      <c r="C218" t="inlineStr">
        <is>
          <t>Graz</t>
        </is>
      </c>
      <c r="D218" t="inlineStr">
        <is>
          <t>Steiner</t>
        </is>
      </c>
      <c r="E218" t="inlineStr">
        <is>
          <t>Huawei</t>
        </is>
      </c>
      <c r="F218" t="inlineStr">
        <is>
          <t>P20</t>
        </is>
      </c>
      <c r="G218" s="16" t="n">
        <v>12</v>
      </c>
      <c r="H218" s="17" t="n">
        <v>499</v>
      </c>
      <c r="I218" s="17" t="n">
        <v>5988</v>
      </c>
    </row>
    <row r="219">
      <c r="B219" s="15" t="n">
        <v>43096</v>
      </c>
      <c r="C219" t="inlineStr">
        <is>
          <t>Wien</t>
        </is>
      </c>
      <c r="D219" t="inlineStr">
        <is>
          <t>Huber</t>
        </is>
      </c>
      <c r="E219" t="inlineStr">
        <is>
          <t>Apple</t>
        </is>
      </c>
      <c r="F219" t="inlineStr">
        <is>
          <t>iPhone 8</t>
        </is>
      </c>
      <c r="G219" s="16" t="n">
        <v>5</v>
      </c>
      <c r="H219" s="17" t="n">
        <v>649</v>
      </c>
      <c r="I219" s="17" t="n">
        <v>3245</v>
      </c>
    </row>
    <row r="220">
      <c r="B220" s="15" t="n">
        <v>43096</v>
      </c>
      <c r="C220" t="inlineStr">
        <is>
          <t>Graz</t>
        </is>
      </c>
      <c r="D220" t="inlineStr">
        <is>
          <t>Moser</t>
        </is>
      </c>
      <c r="E220" t="inlineStr">
        <is>
          <t>Apple</t>
        </is>
      </c>
      <c r="F220" t="inlineStr">
        <is>
          <t>iPhone X</t>
        </is>
      </c>
      <c r="G220" s="16" t="n">
        <v>8</v>
      </c>
      <c r="H220" s="17" t="n">
        <v>1149</v>
      </c>
      <c r="I220" s="17" t="n">
        <v>9192</v>
      </c>
    </row>
    <row r="221">
      <c r="B221" s="15" t="n">
        <v>43104</v>
      </c>
      <c r="C221" t="inlineStr">
        <is>
          <t>Graz</t>
        </is>
      </c>
      <c r="D221" t="inlineStr">
        <is>
          <t>Hoffmann</t>
        </is>
      </c>
      <c r="E221" t="inlineStr">
        <is>
          <t>Huawei</t>
        </is>
      </c>
      <c r="F221" t="inlineStr">
        <is>
          <t>P20 Pro</t>
        </is>
      </c>
      <c r="G221" s="16" t="n">
        <v>9</v>
      </c>
      <c r="H221" s="17" t="n">
        <v>799</v>
      </c>
      <c r="I221" s="17" t="n">
        <v>7191</v>
      </c>
    </row>
    <row r="222">
      <c r="B222" s="15" t="n">
        <v>43105</v>
      </c>
      <c r="C222" t="inlineStr">
        <is>
          <t>Graz</t>
        </is>
      </c>
      <c r="D222" t="inlineStr">
        <is>
          <t>Moser</t>
        </is>
      </c>
      <c r="E222" t="inlineStr">
        <is>
          <t>Sony</t>
        </is>
      </c>
      <c r="F222" t="inlineStr">
        <is>
          <t>Xperia L2</t>
        </is>
      </c>
      <c r="G222" s="16" t="n">
        <v>12</v>
      </c>
      <c r="H222" s="17" t="n">
        <v>249</v>
      </c>
      <c r="I222" s="17" t="n">
        <v>2988</v>
      </c>
    </row>
    <row r="223">
      <c r="B223" s="15" t="n">
        <v>43107</v>
      </c>
      <c r="C223" t="inlineStr">
        <is>
          <t>Linz</t>
        </is>
      </c>
      <c r="D223" t="inlineStr">
        <is>
          <t>Berger</t>
        </is>
      </c>
      <c r="E223" t="inlineStr">
        <is>
          <t>Apple</t>
        </is>
      </c>
      <c r="F223" t="inlineStr">
        <is>
          <t>MacBook Air</t>
        </is>
      </c>
      <c r="G223" s="16" t="n">
        <v>11</v>
      </c>
      <c r="H223" s="17" t="n">
        <v>1199</v>
      </c>
      <c r="I223" s="17" t="n">
        <v>13189</v>
      </c>
    </row>
    <row r="224">
      <c r="B224" s="15" t="n">
        <v>43107</v>
      </c>
      <c r="C224" t="inlineStr">
        <is>
          <t>Salzburg</t>
        </is>
      </c>
      <c r="D224" t="inlineStr">
        <is>
          <t>Moser</t>
        </is>
      </c>
      <c r="E224" t="inlineStr">
        <is>
          <t>Huawei</t>
        </is>
      </c>
      <c r="F224" t="inlineStr">
        <is>
          <t>MediaPad</t>
        </is>
      </c>
      <c r="G224" s="16" t="n">
        <v>2</v>
      </c>
      <c r="H224" s="17" t="n">
        <v>269</v>
      </c>
      <c r="I224" s="17" t="n">
        <v>538</v>
      </c>
    </row>
    <row r="225">
      <c r="B225" s="15" t="n">
        <v>43110</v>
      </c>
      <c r="C225" t="inlineStr">
        <is>
          <t>Graz</t>
        </is>
      </c>
      <c r="D225" t="inlineStr">
        <is>
          <t>Steiner</t>
        </is>
      </c>
      <c r="E225" t="inlineStr">
        <is>
          <t>Samsung</t>
        </is>
      </c>
      <c r="F225" t="inlineStr">
        <is>
          <t>Galaxy Tab</t>
        </is>
      </c>
      <c r="G225" s="16" t="n">
        <v>11</v>
      </c>
      <c r="H225" s="17" t="n">
        <v>379</v>
      </c>
      <c r="I225" s="17" t="n">
        <v>4169</v>
      </c>
    </row>
    <row r="226">
      <c r="B226" s="15" t="n">
        <v>43112</v>
      </c>
      <c r="C226" t="inlineStr">
        <is>
          <t>Graz</t>
        </is>
      </c>
      <c r="D226" t="inlineStr">
        <is>
          <t>Huber</t>
        </is>
      </c>
      <c r="E226" t="inlineStr">
        <is>
          <t>Apple</t>
        </is>
      </c>
      <c r="F226" t="inlineStr">
        <is>
          <t>iPad Air</t>
        </is>
      </c>
      <c r="G226" s="16" t="n">
        <v>4</v>
      </c>
      <c r="H226" s="17" t="n">
        <v>549</v>
      </c>
      <c r="I226" s="17" t="n">
        <v>2196</v>
      </c>
    </row>
    <row r="227">
      <c r="B227" s="15" t="n">
        <v>43117</v>
      </c>
      <c r="C227" t="inlineStr">
        <is>
          <t>Wien</t>
        </is>
      </c>
      <c r="D227" t="inlineStr">
        <is>
          <t>Wagner</t>
        </is>
      </c>
      <c r="E227" t="inlineStr">
        <is>
          <t>Huawei</t>
        </is>
      </c>
      <c r="F227" t="inlineStr">
        <is>
          <t>P20</t>
        </is>
      </c>
      <c r="G227" s="16" t="n">
        <v>5</v>
      </c>
      <c r="H227" s="17" t="n">
        <v>499</v>
      </c>
      <c r="I227" s="17" t="n">
        <v>2495</v>
      </c>
    </row>
    <row r="228">
      <c r="B228" s="15" t="n">
        <v>43117</v>
      </c>
      <c r="C228" t="inlineStr">
        <is>
          <t>Graz</t>
        </is>
      </c>
      <c r="D228" t="inlineStr">
        <is>
          <t>Huber</t>
        </is>
      </c>
      <c r="E228" t="inlineStr">
        <is>
          <t>Huawei</t>
        </is>
      </c>
      <c r="F228" t="inlineStr">
        <is>
          <t>P20 Pro</t>
        </is>
      </c>
      <c r="G228" s="16" t="n">
        <v>5</v>
      </c>
      <c r="H228" s="17" t="n">
        <v>799</v>
      </c>
      <c r="I228" s="17" t="n">
        <v>3995</v>
      </c>
    </row>
    <row r="229">
      <c r="B229" s="15" t="n">
        <v>43119</v>
      </c>
      <c r="C229" t="inlineStr">
        <is>
          <t>Graz</t>
        </is>
      </c>
      <c r="D229" t="inlineStr">
        <is>
          <t>Steiner</t>
        </is>
      </c>
      <c r="E229" t="inlineStr">
        <is>
          <t>Apple</t>
        </is>
      </c>
      <c r="F229" t="inlineStr">
        <is>
          <t>iPhone 8</t>
        </is>
      </c>
      <c r="G229" s="16" t="n">
        <v>6</v>
      </c>
      <c r="H229" s="17" t="n">
        <v>649</v>
      </c>
      <c r="I229" s="17" t="n">
        <v>3894</v>
      </c>
    </row>
    <row r="230">
      <c r="B230" s="15" t="n">
        <v>43120</v>
      </c>
      <c r="C230" t="inlineStr">
        <is>
          <t>Linz</t>
        </is>
      </c>
      <c r="D230" t="inlineStr">
        <is>
          <t>Berger</t>
        </is>
      </c>
      <c r="E230" t="inlineStr">
        <is>
          <t>Apple</t>
        </is>
      </c>
      <c r="F230" t="inlineStr">
        <is>
          <t>iPhone X</t>
        </is>
      </c>
      <c r="G230" s="16" t="n">
        <v>8</v>
      </c>
      <c r="H230" s="17" t="n">
        <v>1149</v>
      </c>
      <c r="I230" s="17" t="n">
        <v>9192</v>
      </c>
    </row>
    <row r="231">
      <c r="B231" s="15" t="n">
        <v>43121</v>
      </c>
      <c r="C231" t="inlineStr">
        <is>
          <t>Linz</t>
        </is>
      </c>
      <c r="D231" t="inlineStr">
        <is>
          <t>Steiner</t>
        </is>
      </c>
      <c r="E231" t="inlineStr">
        <is>
          <t>Huawei</t>
        </is>
      </c>
      <c r="F231" t="inlineStr">
        <is>
          <t>P20 Pro</t>
        </is>
      </c>
      <c r="G231" s="16" t="n">
        <v>2</v>
      </c>
      <c r="H231" s="17" t="n">
        <v>799</v>
      </c>
      <c r="I231" s="17" t="n">
        <v>1598</v>
      </c>
    </row>
    <row r="232">
      <c r="B232" s="15" t="n">
        <v>43132</v>
      </c>
      <c r="C232" t="inlineStr">
        <is>
          <t>Wien</t>
        </is>
      </c>
      <c r="D232" t="inlineStr">
        <is>
          <t>Hoffmann</t>
        </is>
      </c>
      <c r="E232" t="inlineStr">
        <is>
          <t>Huawei</t>
        </is>
      </c>
      <c r="F232" t="inlineStr">
        <is>
          <t>MediaPad</t>
        </is>
      </c>
      <c r="G232" s="16" t="n">
        <v>5</v>
      </c>
      <c r="H232" s="17" t="n">
        <v>269</v>
      </c>
      <c r="I232" s="17" t="n">
        <v>1345</v>
      </c>
    </row>
    <row r="233">
      <c r="B233" s="15" t="n">
        <v>43135</v>
      </c>
      <c r="C233" t="inlineStr">
        <is>
          <t>Linz</t>
        </is>
      </c>
      <c r="D233" t="inlineStr">
        <is>
          <t>Berger</t>
        </is>
      </c>
      <c r="E233" t="inlineStr">
        <is>
          <t>Apple</t>
        </is>
      </c>
      <c r="F233" t="inlineStr">
        <is>
          <t>iPhone X</t>
        </is>
      </c>
      <c r="G233" s="16" t="n">
        <v>3</v>
      </c>
      <c r="H233" s="17" t="n">
        <v>1149</v>
      </c>
      <c r="I233" s="17" t="n">
        <v>3447</v>
      </c>
    </row>
    <row r="234">
      <c r="B234" s="15" t="n">
        <v>43137</v>
      </c>
      <c r="C234" t="inlineStr">
        <is>
          <t>Graz</t>
        </is>
      </c>
      <c r="D234" t="inlineStr">
        <is>
          <t>Huber</t>
        </is>
      </c>
      <c r="E234" t="inlineStr">
        <is>
          <t>Samsung</t>
        </is>
      </c>
      <c r="F234" t="inlineStr">
        <is>
          <t>Galaxy S9</t>
        </is>
      </c>
      <c r="G234" s="16" t="n">
        <v>7</v>
      </c>
      <c r="H234" s="17" t="n">
        <v>849</v>
      </c>
      <c r="I234" s="17" t="n">
        <v>5943</v>
      </c>
    </row>
    <row r="235">
      <c r="B235" s="15" t="n">
        <v>43147</v>
      </c>
      <c r="C235" t="inlineStr">
        <is>
          <t>Salzburg</t>
        </is>
      </c>
      <c r="D235" t="inlineStr">
        <is>
          <t>Berger</t>
        </is>
      </c>
      <c r="E235" t="inlineStr">
        <is>
          <t>Apple</t>
        </is>
      </c>
      <c r="F235" t="inlineStr">
        <is>
          <t>iPhone 8</t>
        </is>
      </c>
      <c r="G235" s="16" t="n">
        <v>11</v>
      </c>
      <c r="H235" s="17" t="n">
        <v>649</v>
      </c>
      <c r="I235" s="17" t="n">
        <v>7139</v>
      </c>
    </row>
    <row r="236">
      <c r="B236" s="15" t="n">
        <v>43152</v>
      </c>
      <c r="C236" t="inlineStr">
        <is>
          <t>Wien</t>
        </is>
      </c>
      <c r="D236" t="inlineStr">
        <is>
          <t>Huber</t>
        </is>
      </c>
      <c r="E236" t="inlineStr">
        <is>
          <t>Apple</t>
        </is>
      </c>
      <c r="F236" t="inlineStr">
        <is>
          <t>iPhone 8</t>
        </is>
      </c>
      <c r="G236" s="16" t="n">
        <v>7</v>
      </c>
      <c r="H236" s="17" t="n">
        <v>649</v>
      </c>
      <c r="I236" s="17" t="n">
        <v>4543</v>
      </c>
    </row>
    <row r="237">
      <c r="B237" s="15" t="n">
        <v>43152</v>
      </c>
      <c r="C237" t="inlineStr">
        <is>
          <t>Graz</t>
        </is>
      </c>
      <c r="D237" t="inlineStr">
        <is>
          <t>Steiner</t>
        </is>
      </c>
      <c r="E237" t="inlineStr">
        <is>
          <t>Sony</t>
        </is>
      </c>
      <c r="F237" t="inlineStr">
        <is>
          <t>Xperia XZ2</t>
        </is>
      </c>
      <c r="G237" s="16" t="n">
        <v>12</v>
      </c>
      <c r="H237" s="17" t="n">
        <v>699</v>
      </c>
      <c r="I237" s="17" t="n">
        <v>8388</v>
      </c>
    </row>
    <row r="238">
      <c r="B238" s="15" t="n">
        <v>43154</v>
      </c>
      <c r="C238" t="inlineStr">
        <is>
          <t>Wien</t>
        </is>
      </c>
      <c r="D238" t="inlineStr">
        <is>
          <t>Steiner</t>
        </is>
      </c>
      <c r="E238" t="inlineStr">
        <is>
          <t>Huawei</t>
        </is>
      </c>
      <c r="F238" t="inlineStr">
        <is>
          <t>P20 Pro</t>
        </is>
      </c>
      <c r="G238" s="16" t="n">
        <v>11</v>
      </c>
      <c r="H238" s="17" t="n">
        <v>799</v>
      </c>
      <c r="I238" s="17" t="n">
        <v>8789</v>
      </c>
    </row>
    <row r="239">
      <c r="B239" s="15" t="n">
        <v>43154</v>
      </c>
      <c r="C239" t="inlineStr">
        <is>
          <t>Salzburg</t>
        </is>
      </c>
      <c r="D239" t="inlineStr">
        <is>
          <t>Steiner</t>
        </is>
      </c>
      <c r="E239" t="inlineStr">
        <is>
          <t>Sony</t>
        </is>
      </c>
      <c r="F239" t="inlineStr">
        <is>
          <t>Xperia L2</t>
        </is>
      </c>
      <c r="G239" s="16" t="n">
        <v>6</v>
      </c>
      <c r="H239" s="17" t="n">
        <v>249</v>
      </c>
      <c r="I239" s="17" t="n">
        <v>1494</v>
      </c>
    </row>
    <row r="240">
      <c r="B240" s="15" t="n">
        <v>43155</v>
      </c>
      <c r="C240" t="inlineStr">
        <is>
          <t>Salzburg</t>
        </is>
      </c>
      <c r="D240" t="inlineStr">
        <is>
          <t>Huber</t>
        </is>
      </c>
      <c r="E240" t="inlineStr">
        <is>
          <t>Apple</t>
        </is>
      </c>
      <c r="F240" t="inlineStr">
        <is>
          <t>iPhone 8</t>
        </is>
      </c>
      <c r="G240" s="16" t="n">
        <v>5</v>
      </c>
      <c r="H240" s="17" t="n">
        <v>649</v>
      </c>
      <c r="I240" s="17" t="n">
        <v>3245</v>
      </c>
    </row>
    <row r="241">
      <c r="B241" s="15" t="n">
        <v>43157</v>
      </c>
      <c r="C241" t="inlineStr">
        <is>
          <t>Wien</t>
        </is>
      </c>
      <c r="D241" t="inlineStr">
        <is>
          <t>Huber</t>
        </is>
      </c>
      <c r="E241" t="inlineStr">
        <is>
          <t>Apple</t>
        </is>
      </c>
      <c r="F241" t="inlineStr">
        <is>
          <t>MacBook Air</t>
        </is>
      </c>
      <c r="G241" s="16" t="n">
        <v>4</v>
      </c>
      <c r="H241" s="17" t="n">
        <v>1199</v>
      </c>
      <c r="I241" s="17" t="n">
        <v>4796</v>
      </c>
    </row>
    <row r="242">
      <c r="B242" s="15" t="n">
        <v>43157</v>
      </c>
      <c r="C242" t="inlineStr">
        <is>
          <t>Linz</t>
        </is>
      </c>
      <c r="D242" t="inlineStr">
        <is>
          <t>Wagner</t>
        </is>
      </c>
      <c r="E242" t="inlineStr">
        <is>
          <t>Samsung</t>
        </is>
      </c>
      <c r="F242" t="inlineStr">
        <is>
          <t>Galaxy S8</t>
        </is>
      </c>
      <c r="G242" s="16" t="n">
        <v>2</v>
      </c>
      <c r="H242" s="17" t="n">
        <v>599</v>
      </c>
      <c r="I242" s="17" t="n">
        <v>1198</v>
      </c>
    </row>
    <row r="243">
      <c r="B243" s="15" t="n">
        <v>43158</v>
      </c>
      <c r="C243" t="inlineStr">
        <is>
          <t>Salzburg</t>
        </is>
      </c>
      <c r="D243" t="inlineStr">
        <is>
          <t>Berger</t>
        </is>
      </c>
      <c r="E243" t="inlineStr">
        <is>
          <t>Samsung</t>
        </is>
      </c>
      <c r="F243" t="inlineStr">
        <is>
          <t>Galaxy S9</t>
        </is>
      </c>
      <c r="G243" s="16" t="n">
        <v>1</v>
      </c>
      <c r="H243" s="17" t="n">
        <v>849</v>
      </c>
      <c r="I243" s="17" t="n">
        <v>849</v>
      </c>
    </row>
    <row r="244">
      <c r="B244" s="15" t="n">
        <v>43160</v>
      </c>
      <c r="C244" t="inlineStr">
        <is>
          <t>Salzburg</t>
        </is>
      </c>
      <c r="D244" t="inlineStr">
        <is>
          <t>Steiner</t>
        </is>
      </c>
      <c r="E244" t="inlineStr">
        <is>
          <t>Sony</t>
        </is>
      </c>
      <c r="F244" t="inlineStr">
        <is>
          <t>Xperia XZ2</t>
        </is>
      </c>
      <c r="G244" s="16" t="n">
        <v>1</v>
      </c>
      <c r="H244" s="17" t="n">
        <v>699</v>
      </c>
      <c r="I244" s="17" t="n">
        <v>699</v>
      </c>
    </row>
    <row r="245">
      <c r="B245" s="15" t="n">
        <v>43160</v>
      </c>
      <c r="C245" t="inlineStr">
        <is>
          <t>Graz</t>
        </is>
      </c>
      <c r="D245" t="inlineStr">
        <is>
          <t>Hoffmann</t>
        </is>
      </c>
      <c r="E245" t="inlineStr">
        <is>
          <t>Samsung</t>
        </is>
      </c>
      <c r="F245" t="inlineStr">
        <is>
          <t>Galaxy Tab</t>
        </is>
      </c>
      <c r="G245" s="16" t="n">
        <v>6</v>
      </c>
      <c r="H245" s="17" t="n">
        <v>379</v>
      </c>
      <c r="I245" s="17" t="n">
        <v>2274</v>
      </c>
    </row>
    <row r="246">
      <c r="B246" s="15" t="n">
        <v>43161</v>
      </c>
      <c r="C246" t="inlineStr">
        <is>
          <t>Wien</t>
        </is>
      </c>
      <c r="D246" t="inlineStr">
        <is>
          <t>Steiner</t>
        </is>
      </c>
      <c r="E246" t="inlineStr">
        <is>
          <t>Apple</t>
        </is>
      </c>
      <c r="F246" t="inlineStr">
        <is>
          <t>iPhone X</t>
        </is>
      </c>
      <c r="G246" s="16" t="n">
        <v>3</v>
      </c>
      <c r="H246" s="17" t="n">
        <v>1149</v>
      </c>
      <c r="I246" s="17" t="n">
        <v>3447</v>
      </c>
    </row>
    <row r="247">
      <c r="B247" s="15" t="n">
        <v>43162</v>
      </c>
      <c r="C247" t="inlineStr">
        <is>
          <t>Wien</t>
        </is>
      </c>
      <c r="D247" t="inlineStr">
        <is>
          <t>Huber</t>
        </is>
      </c>
      <c r="E247" t="inlineStr">
        <is>
          <t>Huawei</t>
        </is>
      </c>
      <c r="F247" t="inlineStr">
        <is>
          <t>P20</t>
        </is>
      </c>
      <c r="G247" s="16" t="n">
        <v>12</v>
      </c>
      <c r="H247" s="17" t="n">
        <v>499</v>
      </c>
      <c r="I247" s="17" t="n">
        <v>5988</v>
      </c>
    </row>
    <row r="248">
      <c r="B248" s="15" t="n">
        <v>43163</v>
      </c>
      <c r="C248" t="inlineStr">
        <is>
          <t>Salzburg</t>
        </is>
      </c>
      <c r="D248" t="inlineStr">
        <is>
          <t>Hoffmann</t>
        </is>
      </c>
      <c r="E248" t="inlineStr">
        <is>
          <t>Apple</t>
        </is>
      </c>
      <c r="F248" t="inlineStr">
        <is>
          <t>MacBook Air</t>
        </is>
      </c>
      <c r="G248" s="16" t="n">
        <v>12</v>
      </c>
      <c r="H248" s="17" t="n">
        <v>1199</v>
      </c>
      <c r="I248" s="17" t="n">
        <v>14388</v>
      </c>
    </row>
    <row r="249">
      <c r="B249" s="15" t="n">
        <v>43163</v>
      </c>
      <c r="C249" t="inlineStr">
        <is>
          <t>Salzburg</t>
        </is>
      </c>
      <c r="D249" t="inlineStr">
        <is>
          <t>Hoffmann</t>
        </is>
      </c>
      <c r="E249" t="inlineStr">
        <is>
          <t>Apple</t>
        </is>
      </c>
      <c r="F249" t="inlineStr">
        <is>
          <t>MacBook Air</t>
        </is>
      </c>
      <c r="G249" s="16" t="n">
        <v>1</v>
      </c>
      <c r="H249" s="17" t="n">
        <v>1199</v>
      </c>
      <c r="I249" s="17" t="n">
        <v>1199</v>
      </c>
    </row>
    <row r="250">
      <c r="B250" s="15" t="n">
        <v>43164</v>
      </c>
      <c r="C250" t="inlineStr">
        <is>
          <t>Wien</t>
        </is>
      </c>
      <c r="D250" t="inlineStr">
        <is>
          <t>Moser</t>
        </is>
      </c>
      <c r="E250" t="inlineStr">
        <is>
          <t>Samsung</t>
        </is>
      </c>
      <c r="F250" t="inlineStr">
        <is>
          <t>Galaxy Tab</t>
        </is>
      </c>
      <c r="G250" s="16" t="n">
        <v>1</v>
      </c>
      <c r="H250" s="17" t="n">
        <v>379</v>
      </c>
      <c r="I250" s="17" t="n">
        <v>379</v>
      </c>
    </row>
    <row r="251">
      <c r="B251" s="15" t="n">
        <v>43164</v>
      </c>
      <c r="C251" t="inlineStr">
        <is>
          <t>Linz</t>
        </is>
      </c>
      <c r="D251" t="inlineStr">
        <is>
          <t>Huber</t>
        </is>
      </c>
      <c r="E251" t="inlineStr">
        <is>
          <t>Sony</t>
        </is>
      </c>
      <c r="F251" t="inlineStr">
        <is>
          <t>Xperia XZ2</t>
        </is>
      </c>
      <c r="G251" s="16" t="n">
        <v>3</v>
      </c>
      <c r="H251" s="17" t="n">
        <v>699</v>
      </c>
      <c r="I251" s="17" t="n">
        <v>2097</v>
      </c>
    </row>
    <row r="252">
      <c r="B252" s="15" t="n">
        <v>43164</v>
      </c>
      <c r="C252" t="inlineStr">
        <is>
          <t>Linz</t>
        </is>
      </c>
      <c r="D252" t="inlineStr">
        <is>
          <t>Moser</t>
        </is>
      </c>
      <c r="E252" t="inlineStr">
        <is>
          <t>Huawei</t>
        </is>
      </c>
      <c r="F252" t="inlineStr">
        <is>
          <t>P20 Pro</t>
        </is>
      </c>
      <c r="G252" s="16" t="n">
        <v>8</v>
      </c>
      <c r="H252" s="17" t="n">
        <v>799</v>
      </c>
      <c r="I252" s="17" t="n">
        <v>6392</v>
      </c>
    </row>
    <row r="253">
      <c r="B253" s="15" t="n">
        <v>43166</v>
      </c>
      <c r="C253" t="inlineStr">
        <is>
          <t>Graz</t>
        </is>
      </c>
      <c r="D253" t="inlineStr">
        <is>
          <t>Moser</t>
        </is>
      </c>
      <c r="E253" t="inlineStr">
        <is>
          <t>Samsung</t>
        </is>
      </c>
      <c r="F253" t="inlineStr">
        <is>
          <t>Galaxy S9</t>
        </is>
      </c>
      <c r="G253" s="16" t="n">
        <v>9</v>
      </c>
      <c r="H253" s="17" t="n">
        <v>849</v>
      </c>
      <c r="I253" s="17" t="n">
        <v>7641</v>
      </c>
    </row>
    <row r="254">
      <c r="B254" s="15" t="n">
        <v>43166</v>
      </c>
      <c r="C254" t="inlineStr">
        <is>
          <t>Wien</t>
        </is>
      </c>
      <c r="D254" t="inlineStr">
        <is>
          <t>Huber</t>
        </is>
      </c>
      <c r="E254" t="inlineStr">
        <is>
          <t>Apple</t>
        </is>
      </c>
      <c r="F254" t="inlineStr">
        <is>
          <t>iPhone 8</t>
        </is>
      </c>
      <c r="G254" s="16" t="n">
        <v>10</v>
      </c>
      <c r="H254" s="17" t="n">
        <v>649</v>
      </c>
      <c r="I254" s="17" t="n">
        <v>6490</v>
      </c>
    </row>
    <row r="255">
      <c r="B255" s="15" t="n">
        <v>43166</v>
      </c>
      <c r="C255" t="inlineStr">
        <is>
          <t>Wien</t>
        </is>
      </c>
      <c r="D255" t="inlineStr">
        <is>
          <t>Berger</t>
        </is>
      </c>
      <c r="E255" t="inlineStr">
        <is>
          <t>Huawei</t>
        </is>
      </c>
      <c r="F255" t="inlineStr">
        <is>
          <t>P20 Pro</t>
        </is>
      </c>
      <c r="G255" s="16" t="n">
        <v>4</v>
      </c>
      <c r="H255" s="17" t="n">
        <v>799</v>
      </c>
      <c r="I255" s="17" t="n">
        <v>3196</v>
      </c>
    </row>
    <row r="256">
      <c r="B256" s="15" t="n">
        <v>43167</v>
      </c>
      <c r="C256" t="inlineStr">
        <is>
          <t>Wien</t>
        </is>
      </c>
      <c r="D256" t="inlineStr">
        <is>
          <t>Moser</t>
        </is>
      </c>
      <c r="E256" t="inlineStr">
        <is>
          <t>Huawei</t>
        </is>
      </c>
      <c r="F256" t="inlineStr">
        <is>
          <t>P20 Pro</t>
        </is>
      </c>
      <c r="G256" s="16" t="n">
        <v>10</v>
      </c>
      <c r="H256" s="17" t="n">
        <v>799</v>
      </c>
      <c r="I256" s="17" t="n">
        <v>7990</v>
      </c>
    </row>
    <row r="257">
      <c r="B257" s="15" t="n">
        <v>43168</v>
      </c>
      <c r="C257" t="inlineStr">
        <is>
          <t>Linz</t>
        </is>
      </c>
      <c r="D257" t="inlineStr">
        <is>
          <t>Hoffmann</t>
        </is>
      </c>
      <c r="E257" t="inlineStr">
        <is>
          <t>Samsung</t>
        </is>
      </c>
      <c r="F257" t="inlineStr">
        <is>
          <t>Galaxy S8</t>
        </is>
      </c>
      <c r="G257" s="16" t="n">
        <v>11</v>
      </c>
      <c r="H257" s="17" t="n">
        <v>599</v>
      </c>
      <c r="I257" s="17" t="n">
        <v>6589</v>
      </c>
    </row>
    <row r="258">
      <c r="B258" s="15" t="n">
        <v>43169</v>
      </c>
      <c r="C258" t="inlineStr">
        <is>
          <t>Graz</t>
        </is>
      </c>
      <c r="D258" t="inlineStr">
        <is>
          <t>Moser</t>
        </is>
      </c>
      <c r="E258" t="inlineStr">
        <is>
          <t>Huawei</t>
        </is>
      </c>
      <c r="F258" t="inlineStr">
        <is>
          <t>MediaPad</t>
        </is>
      </c>
      <c r="G258" s="16" t="n">
        <v>8</v>
      </c>
      <c r="H258" s="17" t="n">
        <v>269</v>
      </c>
      <c r="I258" s="17" t="n">
        <v>2152</v>
      </c>
    </row>
    <row r="259">
      <c r="B259" s="15" t="n">
        <v>43171</v>
      </c>
      <c r="C259" t="inlineStr">
        <is>
          <t>Graz</t>
        </is>
      </c>
      <c r="D259" t="inlineStr">
        <is>
          <t>Wagner</t>
        </is>
      </c>
      <c r="E259" t="inlineStr">
        <is>
          <t>Sony</t>
        </is>
      </c>
      <c r="F259" t="inlineStr">
        <is>
          <t>Xperia L2</t>
        </is>
      </c>
      <c r="G259" s="16" t="n">
        <v>4</v>
      </c>
      <c r="H259" s="17" t="n">
        <v>249</v>
      </c>
      <c r="I259" s="17" t="n">
        <v>996</v>
      </c>
    </row>
    <row r="260">
      <c r="B260" s="15" t="n">
        <v>43175</v>
      </c>
      <c r="C260" t="inlineStr">
        <is>
          <t>Linz</t>
        </is>
      </c>
      <c r="D260" t="inlineStr">
        <is>
          <t>Steiner</t>
        </is>
      </c>
      <c r="E260" t="inlineStr">
        <is>
          <t>Huawei</t>
        </is>
      </c>
      <c r="F260" t="inlineStr">
        <is>
          <t>P20</t>
        </is>
      </c>
      <c r="G260" s="16" t="n">
        <v>7</v>
      </c>
      <c r="H260" s="17" t="n">
        <v>499</v>
      </c>
      <c r="I260" s="17" t="n">
        <v>3493</v>
      </c>
    </row>
    <row r="261">
      <c r="B261" s="15" t="n">
        <v>43175</v>
      </c>
      <c r="C261" t="inlineStr">
        <is>
          <t>Wien</t>
        </is>
      </c>
      <c r="D261" t="inlineStr">
        <is>
          <t>Wagner</t>
        </is>
      </c>
      <c r="E261" t="inlineStr">
        <is>
          <t>Huawei</t>
        </is>
      </c>
      <c r="F261" t="inlineStr">
        <is>
          <t>MediaPad</t>
        </is>
      </c>
      <c r="G261" s="16" t="n">
        <v>4</v>
      </c>
      <c r="H261" s="17" t="n">
        <v>269</v>
      </c>
      <c r="I261" s="17" t="n">
        <v>1076</v>
      </c>
    </row>
    <row r="262">
      <c r="B262" s="15" t="n">
        <v>43176</v>
      </c>
      <c r="C262" t="inlineStr">
        <is>
          <t>Wien</t>
        </is>
      </c>
      <c r="D262" t="inlineStr">
        <is>
          <t>Huber</t>
        </is>
      </c>
      <c r="E262" t="inlineStr">
        <is>
          <t>Samsung</t>
        </is>
      </c>
      <c r="F262" t="inlineStr">
        <is>
          <t>Galaxy Tab</t>
        </is>
      </c>
      <c r="G262" s="16" t="n">
        <v>4</v>
      </c>
      <c r="H262" s="17" t="n">
        <v>379</v>
      </c>
      <c r="I262" s="17" t="n">
        <v>1516</v>
      </c>
    </row>
    <row r="263">
      <c r="B263" s="15" t="n">
        <v>43177</v>
      </c>
      <c r="C263" t="inlineStr">
        <is>
          <t>Salzburg</t>
        </is>
      </c>
      <c r="D263" t="inlineStr">
        <is>
          <t>Berger</t>
        </is>
      </c>
      <c r="E263" t="inlineStr">
        <is>
          <t>Samsung</t>
        </is>
      </c>
      <c r="F263" t="inlineStr">
        <is>
          <t>Galaxy S9</t>
        </is>
      </c>
      <c r="G263" s="16" t="n">
        <v>6</v>
      </c>
      <c r="H263" s="17" t="n">
        <v>849</v>
      </c>
      <c r="I263" s="17" t="n">
        <v>5094</v>
      </c>
    </row>
    <row r="264">
      <c r="B264" s="15" t="n">
        <v>43178</v>
      </c>
      <c r="C264" t="inlineStr">
        <is>
          <t>Salzburg</t>
        </is>
      </c>
      <c r="D264" t="inlineStr">
        <is>
          <t>Moser</t>
        </is>
      </c>
      <c r="E264" t="inlineStr">
        <is>
          <t>Apple</t>
        </is>
      </c>
      <c r="F264" t="inlineStr">
        <is>
          <t>iPhone 8</t>
        </is>
      </c>
      <c r="G264" s="16" t="n">
        <v>6</v>
      </c>
      <c r="H264" s="17" t="n">
        <v>649</v>
      </c>
      <c r="I264" s="17" t="n">
        <v>3894</v>
      </c>
    </row>
    <row r="265">
      <c r="B265" s="15" t="n">
        <v>43182</v>
      </c>
      <c r="C265" t="inlineStr">
        <is>
          <t>Linz</t>
        </is>
      </c>
      <c r="D265" t="inlineStr">
        <is>
          <t>Berger</t>
        </is>
      </c>
      <c r="E265" t="inlineStr">
        <is>
          <t>Samsung</t>
        </is>
      </c>
      <c r="F265" t="inlineStr">
        <is>
          <t>Galaxy Tab</t>
        </is>
      </c>
      <c r="G265" s="16" t="n">
        <v>2</v>
      </c>
      <c r="H265" s="17" t="n">
        <v>379</v>
      </c>
      <c r="I265" s="17" t="n">
        <v>758</v>
      </c>
    </row>
    <row r="266">
      <c r="B266" s="15" t="n">
        <v>43182</v>
      </c>
      <c r="C266" t="inlineStr">
        <is>
          <t>Linz</t>
        </is>
      </c>
      <c r="D266" t="inlineStr">
        <is>
          <t>Huber</t>
        </is>
      </c>
      <c r="E266" t="inlineStr">
        <is>
          <t>Sony</t>
        </is>
      </c>
      <c r="F266" t="inlineStr">
        <is>
          <t>Xperia XZ2</t>
        </is>
      </c>
      <c r="G266" s="16" t="n">
        <v>8</v>
      </c>
      <c r="H266" s="17" t="n">
        <v>699</v>
      </c>
      <c r="I266" s="17" t="n">
        <v>5592</v>
      </c>
    </row>
    <row r="267">
      <c r="B267" s="15" t="n">
        <v>43186</v>
      </c>
      <c r="C267" t="inlineStr">
        <is>
          <t>Salzburg</t>
        </is>
      </c>
      <c r="D267" t="inlineStr">
        <is>
          <t>Huber</t>
        </is>
      </c>
      <c r="E267" t="inlineStr">
        <is>
          <t>Huawei</t>
        </is>
      </c>
      <c r="F267" t="inlineStr">
        <is>
          <t>P20</t>
        </is>
      </c>
      <c r="G267" s="16" t="n">
        <v>10</v>
      </c>
      <c r="H267" s="17" t="n">
        <v>499</v>
      </c>
      <c r="I267" s="17" t="n">
        <v>4990</v>
      </c>
    </row>
    <row r="268">
      <c r="B268" s="15" t="n">
        <v>43186</v>
      </c>
      <c r="C268" t="inlineStr">
        <is>
          <t>Linz</t>
        </is>
      </c>
      <c r="D268" t="inlineStr">
        <is>
          <t>Huber</t>
        </is>
      </c>
      <c r="E268" t="inlineStr">
        <is>
          <t>Sony</t>
        </is>
      </c>
      <c r="F268" t="inlineStr">
        <is>
          <t>Xperia XZ2</t>
        </is>
      </c>
      <c r="G268" s="16" t="n">
        <v>1</v>
      </c>
      <c r="H268" s="17" t="n">
        <v>699</v>
      </c>
      <c r="I268" s="17" t="n">
        <v>699</v>
      </c>
    </row>
    <row r="269">
      <c r="B269" s="15" t="n">
        <v>43192</v>
      </c>
      <c r="C269" t="inlineStr">
        <is>
          <t>Salzburg</t>
        </is>
      </c>
      <c r="D269" t="inlineStr">
        <is>
          <t>Hoffmann</t>
        </is>
      </c>
      <c r="E269" t="inlineStr">
        <is>
          <t>Apple</t>
        </is>
      </c>
      <c r="F269" t="inlineStr">
        <is>
          <t>MacBook Air</t>
        </is>
      </c>
      <c r="G269" s="16" t="n">
        <v>5</v>
      </c>
      <c r="H269" s="17" t="n">
        <v>1199</v>
      </c>
      <c r="I269" s="17" t="n">
        <v>5995</v>
      </c>
    </row>
    <row r="270">
      <c r="B270" s="15" t="n">
        <v>43192</v>
      </c>
      <c r="C270" t="inlineStr">
        <is>
          <t>Salzburg</t>
        </is>
      </c>
      <c r="D270" t="inlineStr">
        <is>
          <t>Moser</t>
        </is>
      </c>
      <c r="E270" t="inlineStr">
        <is>
          <t>Apple</t>
        </is>
      </c>
      <c r="F270" t="inlineStr">
        <is>
          <t>iPhone 8</t>
        </is>
      </c>
      <c r="G270" s="16" t="n">
        <v>9</v>
      </c>
      <c r="H270" s="17" t="n">
        <v>649</v>
      </c>
      <c r="I270" s="17" t="n">
        <v>5841</v>
      </c>
    </row>
    <row r="271">
      <c r="B271" s="15" t="n">
        <v>43195</v>
      </c>
      <c r="C271" t="inlineStr">
        <is>
          <t>Salzburg</t>
        </is>
      </c>
      <c r="D271" t="inlineStr">
        <is>
          <t>Hoffmann</t>
        </is>
      </c>
      <c r="E271" t="inlineStr">
        <is>
          <t>Huawei</t>
        </is>
      </c>
      <c r="F271" t="inlineStr">
        <is>
          <t>MediaPad</t>
        </is>
      </c>
      <c r="G271" s="16" t="n">
        <v>2</v>
      </c>
      <c r="H271" s="17" t="n">
        <v>269</v>
      </c>
      <c r="I271" s="17" t="n">
        <v>538</v>
      </c>
    </row>
    <row r="272">
      <c r="B272" s="15" t="n">
        <v>43195</v>
      </c>
      <c r="C272" t="inlineStr">
        <is>
          <t>Wien</t>
        </is>
      </c>
      <c r="D272" t="inlineStr">
        <is>
          <t>Steiner</t>
        </is>
      </c>
      <c r="E272" t="inlineStr">
        <is>
          <t>Apple</t>
        </is>
      </c>
      <c r="F272" t="inlineStr">
        <is>
          <t>iPhone 8</t>
        </is>
      </c>
      <c r="G272" s="16" t="n">
        <v>9</v>
      </c>
      <c r="H272" s="17" t="n">
        <v>649</v>
      </c>
      <c r="I272" s="17" t="n">
        <v>5841</v>
      </c>
    </row>
    <row r="273">
      <c r="B273" s="15" t="n">
        <v>43196</v>
      </c>
      <c r="C273" t="inlineStr">
        <is>
          <t>Wien</t>
        </is>
      </c>
      <c r="D273" t="inlineStr">
        <is>
          <t>Berger</t>
        </is>
      </c>
      <c r="E273" t="inlineStr">
        <is>
          <t>Sony</t>
        </is>
      </c>
      <c r="F273" t="inlineStr">
        <is>
          <t>Xperia XZ2</t>
        </is>
      </c>
      <c r="G273" s="16" t="n">
        <v>12</v>
      </c>
      <c r="H273" s="17" t="n">
        <v>699</v>
      </c>
      <c r="I273" s="17" t="n">
        <v>8388</v>
      </c>
    </row>
    <row r="274">
      <c r="B274" s="15" t="n">
        <v>43199</v>
      </c>
      <c r="C274" t="inlineStr">
        <is>
          <t>Wien</t>
        </is>
      </c>
      <c r="D274" t="inlineStr">
        <is>
          <t>Berger</t>
        </is>
      </c>
      <c r="E274" t="inlineStr">
        <is>
          <t>Samsung</t>
        </is>
      </c>
      <c r="F274" t="inlineStr">
        <is>
          <t>Galaxy Tab</t>
        </is>
      </c>
      <c r="G274" s="16" t="n">
        <v>6</v>
      </c>
      <c r="H274" s="17" t="n">
        <v>379</v>
      </c>
      <c r="I274" s="17" t="n">
        <v>2274</v>
      </c>
    </row>
    <row r="275">
      <c r="B275" s="15" t="n">
        <v>43202</v>
      </c>
      <c r="C275" t="inlineStr">
        <is>
          <t>Linz</t>
        </is>
      </c>
      <c r="D275" t="inlineStr">
        <is>
          <t>Huber</t>
        </is>
      </c>
      <c r="E275" t="inlineStr">
        <is>
          <t>Apple</t>
        </is>
      </c>
      <c r="F275" t="inlineStr">
        <is>
          <t>MacBook Air</t>
        </is>
      </c>
      <c r="G275" s="16" t="n">
        <v>2</v>
      </c>
      <c r="H275" s="17" t="n">
        <v>1199</v>
      </c>
      <c r="I275" s="17" t="n">
        <v>2398</v>
      </c>
    </row>
    <row r="276">
      <c r="B276" s="15" t="n">
        <v>43204</v>
      </c>
      <c r="C276" t="inlineStr">
        <is>
          <t>Graz</t>
        </is>
      </c>
      <c r="D276" t="inlineStr">
        <is>
          <t>Wagner</t>
        </is>
      </c>
      <c r="E276" t="inlineStr">
        <is>
          <t>Sony</t>
        </is>
      </c>
      <c r="F276" t="inlineStr">
        <is>
          <t>Xperia L2</t>
        </is>
      </c>
      <c r="G276" s="16" t="n">
        <v>10</v>
      </c>
      <c r="H276" s="17" t="n">
        <v>249</v>
      </c>
      <c r="I276" s="17" t="n">
        <v>2490</v>
      </c>
    </row>
    <row r="277">
      <c r="B277" s="15" t="n">
        <v>43204</v>
      </c>
      <c r="C277" t="inlineStr">
        <is>
          <t>Wien</t>
        </is>
      </c>
      <c r="D277" t="inlineStr">
        <is>
          <t>Hoffmann</t>
        </is>
      </c>
      <c r="E277" t="inlineStr">
        <is>
          <t>Huawei</t>
        </is>
      </c>
      <c r="F277" t="inlineStr">
        <is>
          <t>MediaPad</t>
        </is>
      </c>
      <c r="G277" s="16" t="n">
        <v>8</v>
      </c>
      <c r="H277" s="17" t="n">
        <v>269</v>
      </c>
      <c r="I277" s="17" t="n">
        <v>2152</v>
      </c>
    </row>
    <row r="278">
      <c r="B278" s="15" t="n">
        <v>43205</v>
      </c>
      <c r="C278" t="inlineStr">
        <is>
          <t>Salzburg</t>
        </is>
      </c>
      <c r="D278" t="inlineStr">
        <is>
          <t>Wagner</t>
        </is>
      </c>
      <c r="E278" t="inlineStr">
        <is>
          <t>Samsung</t>
        </is>
      </c>
      <c r="F278" t="inlineStr">
        <is>
          <t>Galaxy S8</t>
        </is>
      </c>
      <c r="G278" s="16" t="n">
        <v>7</v>
      </c>
      <c r="H278" s="17" t="n">
        <v>599</v>
      </c>
      <c r="I278" s="17" t="n">
        <v>4193</v>
      </c>
    </row>
    <row r="279">
      <c r="B279" s="15" t="n">
        <v>43208</v>
      </c>
      <c r="C279" t="inlineStr">
        <is>
          <t>Graz</t>
        </is>
      </c>
      <c r="D279" t="inlineStr">
        <is>
          <t>Huber</t>
        </is>
      </c>
      <c r="E279" t="inlineStr">
        <is>
          <t>Apple</t>
        </is>
      </c>
      <c r="F279" t="inlineStr">
        <is>
          <t>MacBook Air</t>
        </is>
      </c>
      <c r="G279" s="16" t="n">
        <v>7</v>
      </c>
      <c r="H279" s="17" t="n">
        <v>1199</v>
      </c>
      <c r="I279" s="17" t="n">
        <v>8393</v>
      </c>
    </row>
    <row r="280">
      <c r="B280" s="15" t="n">
        <v>43208</v>
      </c>
      <c r="C280" t="inlineStr">
        <is>
          <t>Wien</t>
        </is>
      </c>
      <c r="D280" t="inlineStr">
        <is>
          <t>Huber</t>
        </is>
      </c>
      <c r="E280" t="inlineStr">
        <is>
          <t>Sony</t>
        </is>
      </c>
      <c r="F280" t="inlineStr">
        <is>
          <t>Xperia XZ2</t>
        </is>
      </c>
      <c r="G280" s="16" t="n">
        <v>10</v>
      </c>
      <c r="H280" s="17" t="n">
        <v>699</v>
      </c>
      <c r="I280" s="17" t="n">
        <v>6990</v>
      </c>
    </row>
    <row r="281">
      <c r="B281" s="15" t="n">
        <v>43209</v>
      </c>
      <c r="C281" t="inlineStr">
        <is>
          <t>Wien</t>
        </is>
      </c>
      <c r="D281" t="inlineStr">
        <is>
          <t>Hoffmann</t>
        </is>
      </c>
      <c r="E281" t="inlineStr">
        <is>
          <t>Huawei</t>
        </is>
      </c>
      <c r="F281" t="inlineStr">
        <is>
          <t>P20</t>
        </is>
      </c>
      <c r="G281" s="16" t="n">
        <v>5</v>
      </c>
      <c r="H281" s="17" t="n">
        <v>499</v>
      </c>
      <c r="I281" s="17" t="n">
        <v>2495</v>
      </c>
    </row>
    <row r="282">
      <c r="B282" s="15" t="n">
        <v>43209</v>
      </c>
      <c r="C282" t="inlineStr">
        <is>
          <t>Wien</t>
        </is>
      </c>
      <c r="D282" t="inlineStr">
        <is>
          <t>Hoffmann</t>
        </is>
      </c>
      <c r="E282" t="inlineStr">
        <is>
          <t>Sony</t>
        </is>
      </c>
      <c r="F282" t="inlineStr">
        <is>
          <t>Xperia L2</t>
        </is>
      </c>
      <c r="G282" s="16" t="n">
        <v>7</v>
      </c>
      <c r="H282" s="17" t="n">
        <v>249</v>
      </c>
      <c r="I282" s="17" t="n">
        <v>1743</v>
      </c>
    </row>
    <row r="283">
      <c r="B283" s="15" t="n">
        <v>43209</v>
      </c>
      <c r="C283" t="inlineStr">
        <is>
          <t>Salzburg</t>
        </is>
      </c>
      <c r="D283" t="inlineStr">
        <is>
          <t>Hoffmann</t>
        </is>
      </c>
      <c r="E283" t="inlineStr">
        <is>
          <t>Samsung</t>
        </is>
      </c>
      <c r="F283" t="inlineStr">
        <is>
          <t>Galaxy S9</t>
        </is>
      </c>
      <c r="G283" s="16" t="n">
        <v>6</v>
      </c>
      <c r="H283" s="17" t="n">
        <v>849</v>
      </c>
      <c r="I283" s="17" t="n">
        <v>5094</v>
      </c>
    </row>
    <row r="284">
      <c r="B284" s="15" t="n">
        <v>43212</v>
      </c>
      <c r="C284" t="inlineStr">
        <is>
          <t>Linz</t>
        </is>
      </c>
      <c r="D284" t="inlineStr">
        <is>
          <t>Huber</t>
        </is>
      </c>
      <c r="E284" t="inlineStr">
        <is>
          <t>Sony</t>
        </is>
      </c>
      <c r="F284" t="inlineStr">
        <is>
          <t>Xperia XZ2</t>
        </is>
      </c>
      <c r="G284" s="16" t="n">
        <v>3</v>
      </c>
      <c r="H284" s="17" t="n">
        <v>699</v>
      </c>
      <c r="I284" s="17" t="n">
        <v>2097</v>
      </c>
    </row>
    <row r="285">
      <c r="B285" s="15" t="n">
        <v>43213</v>
      </c>
      <c r="C285" t="inlineStr">
        <is>
          <t>Graz</t>
        </is>
      </c>
      <c r="D285" t="inlineStr">
        <is>
          <t>Berger</t>
        </is>
      </c>
      <c r="E285" t="inlineStr">
        <is>
          <t>Apple</t>
        </is>
      </c>
      <c r="F285" t="inlineStr">
        <is>
          <t>iPhone X</t>
        </is>
      </c>
      <c r="G285" s="16" t="n">
        <v>7</v>
      </c>
      <c r="H285" s="17" t="n">
        <v>1149</v>
      </c>
      <c r="I285" s="17" t="n">
        <v>8043</v>
      </c>
    </row>
    <row r="286">
      <c r="B286" s="15" t="n">
        <v>43214</v>
      </c>
      <c r="C286" t="inlineStr">
        <is>
          <t>Linz</t>
        </is>
      </c>
      <c r="D286" t="inlineStr">
        <is>
          <t>Hoffmann</t>
        </is>
      </c>
      <c r="E286" t="inlineStr">
        <is>
          <t>Apple</t>
        </is>
      </c>
      <c r="F286" t="inlineStr">
        <is>
          <t>iPhone 8</t>
        </is>
      </c>
      <c r="G286" s="16" t="n">
        <v>2</v>
      </c>
      <c r="H286" s="17" t="n">
        <v>649</v>
      </c>
      <c r="I286" s="17" t="n">
        <v>1298</v>
      </c>
    </row>
    <row r="287">
      <c r="B287" s="15" t="n">
        <v>43214</v>
      </c>
      <c r="C287" t="inlineStr">
        <is>
          <t>Wien</t>
        </is>
      </c>
      <c r="D287" t="inlineStr">
        <is>
          <t>Berger</t>
        </is>
      </c>
      <c r="E287" t="inlineStr">
        <is>
          <t>Samsung</t>
        </is>
      </c>
      <c r="F287" t="inlineStr">
        <is>
          <t>Galaxy S9</t>
        </is>
      </c>
      <c r="G287" s="16" t="n">
        <v>6</v>
      </c>
      <c r="H287" s="17" t="n">
        <v>849</v>
      </c>
      <c r="I287" s="17" t="n">
        <v>5094</v>
      </c>
    </row>
    <row r="288">
      <c r="B288" s="15" t="n">
        <v>43214</v>
      </c>
      <c r="C288" t="inlineStr">
        <is>
          <t>Graz</t>
        </is>
      </c>
      <c r="D288" t="inlineStr">
        <is>
          <t>Steiner</t>
        </is>
      </c>
      <c r="E288" t="inlineStr">
        <is>
          <t>Sony</t>
        </is>
      </c>
      <c r="F288" t="inlineStr">
        <is>
          <t>Xperia XZ2</t>
        </is>
      </c>
      <c r="G288" s="16" t="n">
        <v>7</v>
      </c>
      <c r="H288" s="17" t="n">
        <v>699</v>
      </c>
      <c r="I288" s="17" t="n">
        <v>4893</v>
      </c>
    </row>
    <row r="289">
      <c r="B289" s="15" t="n">
        <v>43215</v>
      </c>
      <c r="C289" t="inlineStr">
        <is>
          <t>Graz</t>
        </is>
      </c>
      <c r="D289" t="inlineStr">
        <is>
          <t>Steiner</t>
        </is>
      </c>
      <c r="E289" t="inlineStr">
        <is>
          <t>Sony</t>
        </is>
      </c>
      <c r="F289" t="inlineStr">
        <is>
          <t>Xperia L2</t>
        </is>
      </c>
      <c r="G289" s="16" t="n">
        <v>11</v>
      </c>
      <c r="H289" s="17" t="n">
        <v>249</v>
      </c>
      <c r="I289" s="17" t="n">
        <v>2739</v>
      </c>
    </row>
    <row r="290">
      <c r="B290" s="15" t="n">
        <v>43224</v>
      </c>
      <c r="C290" t="inlineStr">
        <is>
          <t>Graz</t>
        </is>
      </c>
      <c r="D290" t="inlineStr">
        <is>
          <t>Hoffmann</t>
        </is>
      </c>
      <c r="E290" t="inlineStr">
        <is>
          <t>Apple</t>
        </is>
      </c>
      <c r="F290" t="inlineStr">
        <is>
          <t>MacBook Air</t>
        </is>
      </c>
      <c r="G290" s="16" t="n">
        <v>6</v>
      </c>
      <c r="H290" s="17" t="n">
        <v>1199</v>
      </c>
      <c r="I290" s="17" t="n">
        <v>7194</v>
      </c>
    </row>
    <row r="291">
      <c r="B291" s="15" t="n">
        <v>43225</v>
      </c>
      <c r="C291" t="inlineStr">
        <is>
          <t>Graz</t>
        </is>
      </c>
      <c r="D291" t="inlineStr">
        <is>
          <t>Huber</t>
        </is>
      </c>
      <c r="E291" t="inlineStr">
        <is>
          <t>Sony</t>
        </is>
      </c>
      <c r="F291" t="inlineStr">
        <is>
          <t>Xperia L2</t>
        </is>
      </c>
      <c r="G291" s="16" t="n">
        <v>2</v>
      </c>
      <c r="H291" s="17" t="n">
        <v>249</v>
      </c>
      <c r="I291" s="17" t="n">
        <v>498</v>
      </c>
    </row>
    <row r="292">
      <c r="B292" s="15" t="n">
        <v>43233</v>
      </c>
      <c r="C292" t="inlineStr">
        <is>
          <t>Graz</t>
        </is>
      </c>
      <c r="D292" t="inlineStr">
        <is>
          <t>Steiner</t>
        </is>
      </c>
      <c r="E292" t="inlineStr">
        <is>
          <t>Huawei</t>
        </is>
      </c>
      <c r="F292" t="inlineStr">
        <is>
          <t>P20</t>
        </is>
      </c>
      <c r="G292" s="16" t="n">
        <v>1</v>
      </c>
      <c r="H292" s="17" t="n">
        <v>499</v>
      </c>
      <c r="I292" s="17" t="n">
        <v>499</v>
      </c>
    </row>
    <row r="293">
      <c r="B293" s="15" t="n">
        <v>43234</v>
      </c>
      <c r="C293" t="inlineStr">
        <is>
          <t>Linz</t>
        </is>
      </c>
      <c r="D293" t="inlineStr">
        <is>
          <t>Huber</t>
        </is>
      </c>
      <c r="E293" t="inlineStr">
        <is>
          <t>Huawei</t>
        </is>
      </c>
      <c r="F293" t="inlineStr">
        <is>
          <t>P20</t>
        </is>
      </c>
      <c r="G293" s="16" t="n">
        <v>9</v>
      </c>
      <c r="H293" s="17" t="n">
        <v>499</v>
      </c>
      <c r="I293" s="17" t="n">
        <v>4491</v>
      </c>
    </row>
    <row r="294">
      <c r="B294" s="15" t="n">
        <v>43244</v>
      </c>
      <c r="C294" t="inlineStr">
        <is>
          <t>Wien</t>
        </is>
      </c>
      <c r="D294" t="inlineStr">
        <is>
          <t>Hoffmann</t>
        </is>
      </c>
      <c r="E294" t="inlineStr">
        <is>
          <t>Apple</t>
        </is>
      </c>
      <c r="F294" t="inlineStr">
        <is>
          <t>iPhone X</t>
        </is>
      </c>
      <c r="G294" s="16" t="n">
        <v>3</v>
      </c>
      <c r="H294" s="17" t="n">
        <v>1149</v>
      </c>
      <c r="I294" s="17" t="n">
        <v>3447</v>
      </c>
    </row>
    <row r="295">
      <c r="B295" s="15" t="n">
        <v>43244</v>
      </c>
      <c r="C295" t="inlineStr">
        <is>
          <t>Linz</t>
        </is>
      </c>
      <c r="D295" t="inlineStr">
        <is>
          <t>Moser</t>
        </is>
      </c>
      <c r="E295" t="inlineStr">
        <is>
          <t>Huawei</t>
        </is>
      </c>
      <c r="F295" t="inlineStr">
        <is>
          <t>P20 Pro</t>
        </is>
      </c>
      <c r="G295" s="16" t="n">
        <v>9</v>
      </c>
      <c r="H295" s="17" t="n">
        <v>799</v>
      </c>
      <c r="I295" s="17" t="n">
        <v>7191</v>
      </c>
    </row>
    <row r="296">
      <c r="B296" s="15" t="n">
        <v>43247</v>
      </c>
      <c r="C296" t="inlineStr">
        <is>
          <t>Linz</t>
        </is>
      </c>
      <c r="D296" t="inlineStr">
        <is>
          <t>Huber</t>
        </is>
      </c>
      <c r="E296" t="inlineStr">
        <is>
          <t>Samsung</t>
        </is>
      </c>
      <c r="F296" t="inlineStr">
        <is>
          <t>Galaxy S9</t>
        </is>
      </c>
      <c r="G296" s="16" t="n">
        <v>7</v>
      </c>
      <c r="H296" s="17" t="n">
        <v>849</v>
      </c>
      <c r="I296" s="17" t="n">
        <v>5943</v>
      </c>
    </row>
    <row r="297">
      <c r="B297" s="15" t="n">
        <v>43248</v>
      </c>
      <c r="C297" t="inlineStr">
        <is>
          <t>Linz</t>
        </is>
      </c>
      <c r="D297" t="inlineStr">
        <is>
          <t>Huber</t>
        </is>
      </c>
      <c r="E297" t="inlineStr">
        <is>
          <t>Sony</t>
        </is>
      </c>
      <c r="F297" t="inlineStr">
        <is>
          <t>Xperia L2</t>
        </is>
      </c>
      <c r="G297" s="16" t="n">
        <v>3</v>
      </c>
      <c r="H297" s="17" t="n">
        <v>249</v>
      </c>
      <c r="I297" s="17" t="n">
        <v>747</v>
      </c>
    </row>
    <row r="298">
      <c r="B298" s="15" t="n">
        <v>43255</v>
      </c>
      <c r="C298" t="inlineStr">
        <is>
          <t>Wien</t>
        </is>
      </c>
      <c r="D298" t="inlineStr">
        <is>
          <t>Huber</t>
        </is>
      </c>
      <c r="E298" t="inlineStr">
        <is>
          <t>Sony</t>
        </is>
      </c>
      <c r="F298" t="inlineStr">
        <is>
          <t>Xperia L2</t>
        </is>
      </c>
      <c r="G298" s="16" t="n">
        <v>11</v>
      </c>
      <c r="H298" s="17" t="n">
        <v>249</v>
      </c>
      <c r="I298" s="17" t="n">
        <v>2739</v>
      </c>
    </row>
    <row r="299">
      <c r="B299" s="15" t="n">
        <v>43258</v>
      </c>
      <c r="C299" t="inlineStr">
        <is>
          <t>Linz</t>
        </is>
      </c>
      <c r="D299" t="inlineStr">
        <is>
          <t>Huber</t>
        </is>
      </c>
      <c r="E299" t="inlineStr">
        <is>
          <t>Samsung</t>
        </is>
      </c>
      <c r="F299" t="inlineStr">
        <is>
          <t>Galaxy S9</t>
        </is>
      </c>
      <c r="G299" s="16" t="n">
        <v>1</v>
      </c>
      <c r="H299" s="17" t="n">
        <v>849</v>
      </c>
      <c r="I299" s="17" t="n">
        <v>849</v>
      </c>
    </row>
    <row r="300">
      <c r="B300" s="15" t="n">
        <v>43258</v>
      </c>
      <c r="C300" t="inlineStr">
        <is>
          <t>Linz</t>
        </is>
      </c>
      <c r="D300" t="inlineStr">
        <is>
          <t>Hoffmann</t>
        </is>
      </c>
      <c r="E300" t="inlineStr">
        <is>
          <t>Samsung</t>
        </is>
      </c>
      <c r="F300" t="inlineStr">
        <is>
          <t>Galaxy S8</t>
        </is>
      </c>
      <c r="G300" s="16" t="n">
        <v>3</v>
      </c>
      <c r="H300" s="17" t="n">
        <v>599</v>
      </c>
      <c r="I300" s="17" t="n">
        <v>1797</v>
      </c>
    </row>
    <row r="301">
      <c r="B301" s="15" t="n">
        <v>43258</v>
      </c>
      <c r="C301" t="inlineStr">
        <is>
          <t>Graz</t>
        </is>
      </c>
      <c r="D301" t="inlineStr">
        <is>
          <t>Moser</t>
        </is>
      </c>
      <c r="E301" t="inlineStr">
        <is>
          <t>Apple</t>
        </is>
      </c>
      <c r="F301" t="inlineStr">
        <is>
          <t>iPhone 8</t>
        </is>
      </c>
      <c r="G301" s="16" t="n">
        <v>5</v>
      </c>
      <c r="H301" s="17" t="n">
        <v>649</v>
      </c>
      <c r="I301" s="17" t="n">
        <v>3245</v>
      </c>
    </row>
    <row r="302">
      <c r="B302" s="15" t="n">
        <v>43259</v>
      </c>
      <c r="C302" t="inlineStr">
        <is>
          <t>Salzburg</t>
        </is>
      </c>
      <c r="D302" t="inlineStr">
        <is>
          <t>Hoffmann</t>
        </is>
      </c>
      <c r="E302" t="inlineStr">
        <is>
          <t>Samsung</t>
        </is>
      </c>
      <c r="F302" t="inlineStr">
        <is>
          <t>Galaxy S8</t>
        </is>
      </c>
      <c r="G302" s="16" t="n">
        <v>1</v>
      </c>
      <c r="H302" s="17" t="n">
        <v>599</v>
      </c>
      <c r="I302" s="17" t="n">
        <v>599</v>
      </c>
    </row>
    <row r="303">
      <c r="B303" s="15" t="n">
        <v>43259</v>
      </c>
      <c r="C303" t="inlineStr">
        <is>
          <t>Graz</t>
        </is>
      </c>
      <c r="D303" t="inlineStr">
        <is>
          <t>Huber</t>
        </is>
      </c>
      <c r="E303" t="inlineStr">
        <is>
          <t>Apple</t>
        </is>
      </c>
      <c r="F303" t="inlineStr">
        <is>
          <t>iPhone 8</t>
        </is>
      </c>
      <c r="G303" s="16" t="n">
        <v>11</v>
      </c>
      <c r="H303" s="17" t="n">
        <v>649</v>
      </c>
      <c r="I303" s="17" t="n">
        <v>7139</v>
      </c>
    </row>
    <row r="304">
      <c r="B304" s="15" t="n">
        <v>43260</v>
      </c>
      <c r="C304" t="inlineStr">
        <is>
          <t>Graz</t>
        </is>
      </c>
      <c r="D304" t="inlineStr">
        <is>
          <t>Moser</t>
        </is>
      </c>
      <c r="E304" t="inlineStr">
        <is>
          <t>Apple</t>
        </is>
      </c>
      <c r="F304" t="inlineStr">
        <is>
          <t>iPhone X</t>
        </is>
      </c>
      <c r="G304" s="16" t="n">
        <v>2</v>
      </c>
      <c r="H304" s="17" t="n">
        <v>1149</v>
      </c>
      <c r="I304" s="17" t="n">
        <v>2298</v>
      </c>
    </row>
    <row r="305">
      <c r="B305" s="15" t="n">
        <v>43263</v>
      </c>
      <c r="C305" t="inlineStr">
        <is>
          <t>Linz</t>
        </is>
      </c>
      <c r="D305" t="inlineStr">
        <is>
          <t>Wagner</t>
        </is>
      </c>
      <c r="E305" t="inlineStr">
        <is>
          <t>Huawei</t>
        </is>
      </c>
      <c r="F305" t="inlineStr">
        <is>
          <t>MediaPad</t>
        </is>
      </c>
      <c r="G305" s="16" t="n">
        <v>6</v>
      </c>
      <c r="H305" s="17" t="n">
        <v>269</v>
      </c>
      <c r="I305" s="17" t="n">
        <v>1614</v>
      </c>
    </row>
    <row r="306">
      <c r="B306" s="15" t="n">
        <v>43264</v>
      </c>
      <c r="C306" t="inlineStr">
        <is>
          <t>Graz</t>
        </is>
      </c>
      <c r="D306" t="inlineStr">
        <is>
          <t>Hoffmann</t>
        </is>
      </c>
      <c r="E306" t="inlineStr">
        <is>
          <t>Apple</t>
        </is>
      </c>
      <c r="F306" t="inlineStr">
        <is>
          <t>MacBook Air</t>
        </is>
      </c>
      <c r="G306" s="16" t="n">
        <v>9</v>
      </c>
      <c r="H306" s="17" t="n">
        <v>1199</v>
      </c>
      <c r="I306" s="17" t="n">
        <v>10791</v>
      </c>
    </row>
    <row r="307">
      <c r="B307" s="15" t="n">
        <v>43264</v>
      </c>
      <c r="C307" t="inlineStr">
        <is>
          <t>Linz</t>
        </is>
      </c>
      <c r="D307" t="inlineStr">
        <is>
          <t>Berger</t>
        </is>
      </c>
      <c r="E307" t="inlineStr">
        <is>
          <t>Samsung</t>
        </is>
      </c>
      <c r="F307" t="inlineStr">
        <is>
          <t>Galaxy Tab</t>
        </is>
      </c>
      <c r="G307" s="16" t="n">
        <v>5</v>
      </c>
      <c r="H307" s="17" t="n">
        <v>379</v>
      </c>
      <c r="I307" s="17" t="n">
        <v>1895</v>
      </c>
    </row>
    <row r="308">
      <c r="B308" s="15" t="n">
        <v>43266</v>
      </c>
      <c r="C308" t="inlineStr">
        <is>
          <t>Salzburg</t>
        </is>
      </c>
      <c r="D308" t="inlineStr">
        <is>
          <t>Huber</t>
        </is>
      </c>
      <c r="E308" t="inlineStr">
        <is>
          <t>Apple</t>
        </is>
      </c>
      <c r="F308" t="inlineStr">
        <is>
          <t>iPad Air</t>
        </is>
      </c>
      <c r="G308" s="16" t="n">
        <v>11</v>
      </c>
      <c r="H308" s="17" t="n">
        <v>549</v>
      </c>
      <c r="I308" s="17" t="n">
        <v>6039</v>
      </c>
    </row>
    <row r="309">
      <c r="B309" s="15" t="n">
        <v>43268</v>
      </c>
      <c r="C309" t="inlineStr">
        <is>
          <t>Graz</t>
        </is>
      </c>
      <c r="D309" t="inlineStr">
        <is>
          <t>Berger</t>
        </is>
      </c>
      <c r="E309" t="inlineStr">
        <is>
          <t>Samsung</t>
        </is>
      </c>
      <c r="F309" t="inlineStr">
        <is>
          <t>Galaxy Tab</t>
        </is>
      </c>
      <c r="G309" s="16" t="n">
        <v>4</v>
      </c>
      <c r="H309" s="17" t="n">
        <v>379</v>
      </c>
      <c r="I309" s="17" t="n">
        <v>1516</v>
      </c>
    </row>
    <row r="310">
      <c r="B310" s="15" t="n">
        <v>43270</v>
      </c>
      <c r="C310" t="inlineStr">
        <is>
          <t>Linz</t>
        </is>
      </c>
      <c r="D310" t="inlineStr">
        <is>
          <t>Wagner</t>
        </is>
      </c>
      <c r="E310" t="inlineStr">
        <is>
          <t>Huawei</t>
        </is>
      </c>
      <c r="F310" t="inlineStr">
        <is>
          <t>P20</t>
        </is>
      </c>
      <c r="G310" s="16" t="n">
        <v>3</v>
      </c>
      <c r="H310" s="17" t="n">
        <v>499</v>
      </c>
      <c r="I310" s="17" t="n">
        <v>1497</v>
      </c>
    </row>
    <row r="311">
      <c r="B311" s="15" t="n">
        <v>43271</v>
      </c>
      <c r="C311" t="inlineStr">
        <is>
          <t>Wien</t>
        </is>
      </c>
      <c r="D311" t="inlineStr">
        <is>
          <t>Hoffmann</t>
        </is>
      </c>
      <c r="E311" t="inlineStr">
        <is>
          <t>Apple</t>
        </is>
      </c>
      <c r="F311" t="inlineStr">
        <is>
          <t>iPhone X</t>
        </is>
      </c>
      <c r="G311" s="16" t="n">
        <v>12</v>
      </c>
      <c r="H311" s="17" t="n">
        <v>1149</v>
      </c>
      <c r="I311" s="17" t="n">
        <v>13788</v>
      </c>
    </row>
    <row r="312">
      <c r="B312" s="15" t="n">
        <v>43271</v>
      </c>
      <c r="C312" t="inlineStr">
        <is>
          <t>Graz</t>
        </is>
      </c>
      <c r="D312" t="inlineStr">
        <is>
          <t>Berger</t>
        </is>
      </c>
      <c r="E312" t="inlineStr">
        <is>
          <t>Samsung</t>
        </is>
      </c>
      <c r="F312" t="inlineStr">
        <is>
          <t>Galaxy Tab</t>
        </is>
      </c>
      <c r="G312" s="16" t="n">
        <v>7</v>
      </c>
      <c r="H312" s="17" t="n">
        <v>379</v>
      </c>
      <c r="I312" s="17" t="n">
        <v>2653</v>
      </c>
    </row>
    <row r="313">
      <c r="B313" s="15" t="n">
        <v>43273</v>
      </c>
      <c r="C313" t="inlineStr">
        <is>
          <t>Salzburg</t>
        </is>
      </c>
      <c r="D313" t="inlineStr">
        <is>
          <t>Wagner</t>
        </is>
      </c>
      <c r="E313" t="inlineStr">
        <is>
          <t>Samsung</t>
        </is>
      </c>
      <c r="F313" t="inlineStr">
        <is>
          <t>Galaxy S9</t>
        </is>
      </c>
      <c r="G313" s="16" t="n">
        <v>1</v>
      </c>
      <c r="H313" s="17" t="n">
        <v>849</v>
      </c>
      <c r="I313" s="17" t="n">
        <v>849</v>
      </c>
    </row>
    <row r="314">
      <c r="B314" s="15" t="n">
        <v>43278</v>
      </c>
      <c r="C314" t="inlineStr">
        <is>
          <t>Salzburg</t>
        </is>
      </c>
      <c r="D314" t="inlineStr">
        <is>
          <t>Wagner</t>
        </is>
      </c>
      <c r="E314" t="inlineStr">
        <is>
          <t>Samsung</t>
        </is>
      </c>
      <c r="F314" t="inlineStr">
        <is>
          <t>Galaxy Tab</t>
        </is>
      </c>
      <c r="G314" s="16" t="n">
        <v>7</v>
      </c>
      <c r="H314" s="17" t="n">
        <v>379</v>
      </c>
      <c r="I314" s="17" t="n">
        <v>2653</v>
      </c>
    </row>
    <row r="315">
      <c r="B315" s="15" t="n">
        <v>43282</v>
      </c>
      <c r="C315" t="inlineStr">
        <is>
          <t>Wien</t>
        </is>
      </c>
      <c r="D315" t="inlineStr">
        <is>
          <t>Steiner</t>
        </is>
      </c>
      <c r="E315" t="inlineStr">
        <is>
          <t>Samsung</t>
        </is>
      </c>
      <c r="F315" t="inlineStr">
        <is>
          <t>Galaxy S8</t>
        </is>
      </c>
      <c r="G315" s="16" t="n">
        <v>6</v>
      </c>
      <c r="H315" s="17" t="n">
        <v>599</v>
      </c>
      <c r="I315" s="17" t="n">
        <v>3594</v>
      </c>
    </row>
    <row r="316">
      <c r="B316" s="15" t="n">
        <v>43283</v>
      </c>
      <c r="C316" t="inlineStr">
        <is>
          <t>Wien</t>
        </is>
      </c>
      <c r="D316" t="inlineStr">
        <is>
          <t>Steiner</t>
        </is>
      </c>
      <c r="E316" t="inlineStr">
        <is>
          <t>Samsung</t>
        </is>
      </c>
      <c r="F316" t="inlineStr">
        <is>
          <t>Galaxy S8</t>
        </is>
      </c>
      <c r="G316" s="16" t="n">
        <v>9</v>
      </c>
      <c r="H316" s="17" t="n">
        <v>599</v>
      </c>
      <c r="I316" s="17" t="n">
        <v>5391</v>
      </c>
    </row>
    <row r="317">
      <c r="B317" s="15" t="n">
        <v>43285</v>
      </c>
      <c r="C317" t="inlineStr">
        <is>
          <t>Wien</t>
        </is>
      </c>
      <c r="D317" t="inlineStr">
        <is>
          <t>Berger</t>
        </is>
      </c>
      <c r="E317" t="inlineStr">
        <is>
          <t>Samsung</t>
        </is>
      </c>
      <c r="F317" t="inlineStr">
        <is>
          <t>Galaxy S8</t>
        </is>
      </c>
      <c r="G317" s="16" t="n">
        <v>9</v>
      </c>
      <c r="H317" s="17" t="n">
        <v>599</v>
      </c>
      <c r="I317" s="17" t="n">
        <v>5391</v>
      </c>
    </row>
    <row r="318">
      <c r="B318" s="15" t="n">
        <v>43287</v>
      </c>
      <c r="C318" t="inlineStr">
        <is>
          <t>Linz</t>
        </is>
      </c>
      <c r="D318" t="inlineStr">
        <is>
          <t>Moser</t>
        </is>
      </c>
      <c r="E318" t="inlineStr">
        <is>
          <t>Huawei</t>
        </is>
      </c>
      <c r="F318" t="inlineStr">
        <is>
          <t>MediaPad</t>
        </is>
      </c>
      <c r="G318" s="16" t="n">
        <v>4</v>
      </c>
      <c r="H318" s="17" t="n">
        <v>269</v>
      </c>
      <c r="I318" s="17" t="n">
        <v>1076</v>
      </c>
    </row>
    <row r="319">
      <c r="B319" s="15" t="n">
        <v>43287</v>
      </c>
      <c r="C319" t="inlineStr">
        <is>
          <t>Wien</t>
        </is>
      </c>
      <c r="D319" t="inlineStr">
        <is>
          <t>Hoffmann</t>
        </is>
      </c>
      <c r="E319" t="inlineStr">
        <is>
          <t>Sony</t>
        </is>
      </c>
      <c r="F319" t="inlineStr">
        <is>
          <t>Xperia XZ2</t>
        </is>
      </c>
      <c r="G319" s="16" t="n">
        <v>6</v>
      </c>
      <c r="H319" s="17" t="n">
        <v>699</v>
      </c>
      <c r="I319" s="17" t="n">
        <v>4194</v>
      </c>
    </row>
    <row r="320">
      <c r="B320" s="15" t="n">
        <v>43288</v>
      </c>
      <c r="C320" t="inlineStr">
        <is>
          <t>Graz</t>
        </is>
      </c>
      <c r="D320" t="inlineStr">
        <is>
          <t>Berger</t>
        </is>
      </c>
      <c r="E320" t="inlineStr">
        <is>
          <t>Huawei</t>
        </is>
      </c>
      <c r="F320" t="inlineStr">
        <is>
          <t>MediaPad</t>
        </is>
      </c>
      <c r="G320" s="16" t="n">
        <v>3</v>
      </c>
      <c r="H320" s="17" t="n">
        <v>269</v>
      </c>
      <c r="I320" s="17" t="n">
        <v>807</v>
      </c>
    </row>
    <row r="321">
      <c r="B321" s="15" t="n">
        <v>43288</v>
      </c>
      <c r="C321" t="inlineStr">
        <is>
          <t>Wien</t>
        </is>
      </c>
      <c r="D321" t="inlineStr">
        <is>
          <t>Berger</t>
        </is>
      </c>
      <c r="E321" t="inlineStr">
        <is>
          <t>Sony</t>
        </is>
      </c>
      <c r="F321" t="inlineStr">
        <is>
          <t>Xperia XZ2</t>
        </is>
      </c>
      <c r="G321" s="16" t="n">
        <v>3</v>
      </c>
      <c r="H321" s="17" t="n">
        <v>699</v>
      </c>
      <c r="I321" s="17" t="n">
        <v>2097</v>
      </c>
    </row>
    <row r="322">
      <c r="B322" s="15" t="n">
        <v>43288</v>
      </c>
      <c r="C322" t="inlineStr">
        <is>
          <t>Salzburg</t>
        </is>
      </c>
      <c r="D322" t="inlineStr">
        <is>
          <t>Moser</t>
        </is>
      </c>
      <c r="E322" t="inlineStr">
        <is>
          <t>Apple</t>
        </is>
      </c>
      <c r="F322" t="inlineStr">
        <is>
          <t>iPhone X</t>
        </is>
      </c>
      <c r="G322" s="16" t="n">
        <v>3</v>
      </c>
      <c r="H322" s="17" t="n">
        <v>1149</v>
      </c>
      <c r="I322" s="17" t="n">
        <v>3447</v>
      </c>
    </row>
    <row r="323">
      <c r="B323" s="15" t="n">
        <v>43290</v>
      </c>
      <c r="C323" t="inlineStr">
        <is>
          <t>Salzburg</t>
        </is>
      </c>
      <c r="D323" t="inlineStr">
        <is>
          <t>Huber</t>
        </is>
      </c>
      <c r="E323" t="inlineStr">
        <is>
          <t>Huawei</t>
        </is>
      </c>
      <c r="F323" t="inlineStr">
        <is>
          <t>P20 Pro</t>
        </is>
      </c>
      <c r="G323" s="16" t="n">
        <v>2</v>
      </c>
      <c r="H323" s="17" t="n">
        <v>799</v>
      </c>
      <c r="I323" s="17" t="n">
        <v>1598</v>
      </c>
    </row>
    <row r="324">
      <c r="B324" s="15" t="n">
        <v>43292</v>
      </c>
      <c r="C324" t="inlineStr">
        <is>
          <t>Salzburg</t>
        </is>
      </c>
      <c r="D324" t="inlineStr">
        <is>
          <t>Huber</t>
        </is>
      </c>
      <c r="E324" t="inlineStr">
        <is>
          <t>Huawei</t>
        </is>
      </c>
      <c r="F324" t="inlineStr">
        <is>
          <t>P20 Pro</t>
        </is>
      </c>
      <c r="G324" s="16" t="n">
        <v>1</v>
      </c>
      <c r="H324" s="17" t="n">
        <v>799</v>
      </c>
      <c r="I324" s="17" t="n">
        <v>799</v>
      </c>
    </row>
    <row r="325">
      <c r="B325" s="15" t="n">
        <v>43293</v>
      </c>
      <c r="C325" t="inlineStr">
        <is>
          <t>Graz</t>
        </is>
      </c>
      <c r="D325" t="inlineStr">
        <is>
          <t>Berger</t>
        </is>
      </c>
      <c r="E325" t="inlineStr">
        <is>
          <t>Apple</t>
        </is>
      </c>
      <c r="F325" t="inlineStr">
        <is>
          <t>iPad Air</t>
        </is>
      </c>
      <c r="G325" s="16" t="n">
        <v>10</v>
      </c>
      <c r="H325" s="17" t="n">
        <v>549</v>
      </c>
      <c r="I325" s="17" t="n">
        <v>5490</v>
      </c>
    </row>
    <row r="326">
      <c r="B326" s="15" t="n">
        <v>43297</v>
      </c>
      <c r="C326" t="inlineStr">
        <is>
          <t>Salzburg</t>
        </is>
      </c>
      <c r="D326" t="inlineStr">
        <is>
          <t>Berger</t>
        </is>
      </c>
      <c r="E326" t="inlineStr">
        <is>
          <t>Apple</t>
        </is>
      </c>
      <c r="F326" t="inlineStr">
        <is>
          <t>MacBook Air</t>
        </is>
      </c>
      <c r="G326" s="16" t="n">
        <v>1</v>
      </c>
      <c r="H326" s="17" t="n">
        <v>1199</v>
      </c>
      <c r="I326" s="17" t="n">
        <v>1199</v>
      </c>
    </row>
    <row r="327">
      <c r="B327" s="15" t="n">
        <v>43298</v>
      </c>
      <c r="C327" t="inlineStr">
        <is>
          <t>Graz</t>
        </is>
      </c>
      <c r="D327" t="inlineStr">
        <is>
          <t>Moser</t>
        </is>
      </c>
      <c r="E327" t="inlineStr">
        <is>
          <t>Sony</t>
        </is>
      </c>
      <c r="F327" t="inlineStr">
        <is>
          <t>Xperia L2</t>
        </is>
      </c>
      <c r="G327" s="16" t="n">
        <v>4</v>
      </c>
      <c r="H327" s="17" t="n">
        <v>249</v>
      </c>
      <c r="I327" s="17" t="n">
        <v>996</v>
      </c>
    </row>
    <row r="328">
      <c r="B328" s="15" t="n">
        <v>43301</v>
      </c>
      <c r="C328" t="inlineStr">
        <is>
          <t>Graz</t>
        </is>
      </c>
      <c r="D328" t="inlineStr">
        <is>
          <t>Steiner</t>
        </is>
      </c>
      <c r="E328" t="inlineStr">
        <is>
          <t>Apple</t>
        </is>
      </c>
      <c r="F328" t="inlineStr">
        <is>
          <t>iPhone 8</t>
        </is>
      </c>
      <c r="G328" s="16" t="n">
        <v>7</v>
      </c>
      <c r="H328" s="17" t="n">
        <v>649</v>
      </c>
      <c r="I328" s="17" t="n">
        <v>4543</v>
      </c>
    </row>
    <row r="329">
      <c r="B329" s="15" t="n">
        <v>43302</v>
      </c>
      <c r="C329" t="inlineStr">
        <is>
          <t>Linz</t>
        </is>
      </c>
      <c r="D329" t="inlineStr">
        <is>
          <t>Moser</t>
        </is>
      </c>
      <c r="E329" t="inlineStr">
        <is>
          <t>Apple</t>
        </is>
      </c>
      <c r="F329" t="inlineStr">
        <is>
          <t>iPhone X</t>
        </is>
      </c>
      <c r="G329" s="16" t="n">
        <v>2</v>
      </c>
      <c r="H329" s="17" t="n">
        <v>1149</v>
      </c>
      <c r="I329" s="17" t="n">
        <v>2298</v>
      </c>
    </row>
    <row r="330">
      <c r="B330" s="15" t="n">
        <v>43307</v>
      </c>
      <c r="C330" t="inlineStr">
        <is>
          <t>Graz</t>
        </is>
      </c>
      <c r="D330" t="inlineStr">
        <is>
          <t>Moser</t>
        </is>
      </c>
      <c r="E330" t="inlineStr">
        <is>
          <t>Samsung</t>
        </is>
      </c>
      <c r="F330" t="inlineStr">
        <is>
          <t>Galaxy S9</t>
        </is>
      </c>
      <c r="G330" s="16" t="n">
        <v>9</v>
      </c>
      <c r="H330" s="17" t="n">
        <v>849</v>
      </c>
      <c r="I330" s="17" t="n">
        <v>7641</v>
      </c>
    </row>
    <row r="331">
      <c r="B331" s="15" t="n">
        <v>43308</v>
      </c>
      <c r="C331" t="inlineStr">
        <is>
          <t>Linz</t>
        </is>
      </c>
      <c r="D331" t="inlineStr">
        <is>
          <t>Berger</t>
        </is>
      </c>
      <c r="E331" t="inlineStr">
        <is>
          <t>Apple</t>
        </is>
      </c>
      <c r="F331" t="inlineStr">
        <is>
          <t>iPhone 8</t>
        </is>
      </c>
      <c r="G331" s="16" t="n">
        <v>2</v>
      </c>
      <c r="H331" s="17" t="n">
        <v>649</v>
      </c>
      <c r="I331" s="17" t="n">
        <v>1298</v>
      </c>
    </row>
    <row r="332">
      <c r="B332" s="15" t="n">
        <v>43313</v>
      </c>
      <c r="C332" t="inlineStr">
        <is>
          <t>Wien</t>
        </is>
      </c>
      <c r="D332" t="inlineStr">
        <is>
          <t>Huber</t>
        </is>
      </c>
      <c r="E332" t="inlineStr">
        <is>
          <t>Huawei</t>
        </is>
      </c>
      <c r="F332" t="inlineStr">
        <is>
          <t>P20 Pro</t>
        </is>
      </c>
      <c r="G332" s="16" t="n">
        <v>3</v>
      </c>
      <c r="H332" s="17" t="n">
        <v>799</v>
      </c>
      <c r="I332" s="17" t="n">
        <v>2397</v>
      </c>
    </row>
    <row r="333">
      <c r="B333" s="15" t="n">
        <v>43315</v>
      </c>
      <c r="C333" t="inlineStr">
        <is>
          <t>Wien</t>
        </is>
      </c>
      <c r="D333" t="inlineStr">
        <is>
          <t>Moser</t>
        </is>
      </c>
      <c r="E333" t="inlineStr">
        <is>
          <t>Samsung</t>
        </is>
      </c>
      <c r="F333" t="inlineStr">
        <is>
          <t>Galaxy S9</t>
        </is>
      </c>
      <c r="G333" s="16" t="n">
        <v>11</v>
      </c>
      <c r="H333" s="17" t="n">
        <v>849</v>
      </c>
      <c r="I333" s="17" t="n">
        <v>9339</v>
      </c>
    </row>
    <row r="334">
      <c r="B334" s="15" t="n">
        <v>43316</v>
      </c>
      <c r="C334" t="inlineStr">
        <is>
          <t>Linz</t>
        </is>
      </c>
      <c r="D334" t="inlineStr">
        <is>
          <t>Berger</t>
        </is>
      </c>
      <c r="E334" t="inlineStr">
        <is>
          <t>Huawei</t>
        </is>
      </c>
      <c r="F334" t="inlineStr">
        <is>
          <t>P20</t>
        </is>
      </c>
      <c r="G334" s="16" t="n">
        <v>10</v>
      </c>
      <c r="H334" s="17" t="n">
        <v>499</v>
      </c>
      <c r="I334" s="17" t="n">
        <v>4990</v>
      </c>
    </row>
    <row r="335">
      <c r="B335" s="15" t="n">
        <v>43316</v>
      </c>
      <c r="C335" t="inlineStr">
        <is>
          <t>Wien</t>
        </is>
      </c>
      <c r="D335" t="inlineStr">
        <is>
          <t>Berger</t>
        </is>
      </c>
      <c r="E335" t="inlineStr">
        <is>
          <t>Sony</t>
        </is>
      </c>
      <c r="F335" t="inlineStr">
        <is>
          <t>Xperia XZ2</t>
        </is>
      </c>
      <c r="G335" s="16" t="n">
        <v>3</v>
      </c>
      <c r="H335" s="17" t="n">
        <v>699</v>
      </c>
      <c r="I335" s="17" t="n">
        <v>2097</v>
      </c>
    </row>
    <row r="336">
      <c r="B336" s="15" t="n">
        <v>43321</v>
      </c>
      <c r="C336" t="inlineStr">
        <is>
          <t>Graz</t>
        </is>
      </c>
      <c r="D336" t="inlineStr">
        <is>
          <t>Steiner</t>
        </is>
      </c>
      <c r="E336" t="inlineStr">
        <is>
          <t>Huawei</t>
        </is>
      </c>
      <c r="F336" t="inlineStr">
        <is>
          <t>P20 Pro</t>
        </is>
      </c>
      <c r="G336" s="16" t="n">
        <v>5</v>
      </c>
      <c r="H336" s="17" t="n">
        <v>799</v>
      </c>
      <c r="I336" s="17" t="n">
        <v>3995</v>
      </c>
    </row>
    <row r="337">
      <c r="B337" s="15" t="n">
        <v>43321</v>
      </c>
      <c r="C337" t="inlineStr">
        <is>
          <t>Linz</t>
        </is>
      </c>
      <c r="D337" t="inlineStr">
        <is>
          <t>Huber</t>
        </is>
      </c>
      <c r="E337" t="inlineStr">
        <is>
          <t>Sony</t>
        </is>
      </c>
      <c r="F337" t="inlineStr">
        <is>
          <t>Xperia L2</t>
        </is>
      </c>
      <c r="G337" s="16" t="n">
        <v>8</v>
      </c>
      <c r="H337" s="17" t="n">
        <v>249</v>
      </c>
      <c r="I337" s="17" t="n">
        <v>1992</v>
      </c>
    </row>
    <row r="338">
      <c r="B338" s="15" t="n">
        <v>43322</v>
      </c>
      <c r="C338" t="inlineStr">
        <is>
          <t>Wien</t>
        </is>
      </c>
      <c r="D338" t="inlineStr">
        <is>
          <t>Moser</t>
        </is>
      </c>
      <c r="E338" t="inlineStr">
        <is>
          <t>Apple</t>
        </is>
      </c>
      <c r="F338" t="inlineStr">
        <is>
          <t>iPhone 8</t>
        </is>
      </c>
      <c r="G338" s="16" t="n">
        <v>1</v>
      </c>
      <c r="H338" s="17" t="n">
        <v>649</v>
      </c>
      <c r="I338" s="17" t="n">
        <v>649</v>
      </c>
    </row>
    <row r="339">
      <c r="B339" s="15" t="n">
        <v>43323</v>
      </c>
      <c r="C339" t="inlineStr">
        <is>
          <t>Graz</t>
        </is>
      </c>
      <c r="D339" t="inlineStr">
        <is>
          <t>Hoffmann</t>
        </is>
      </c>
      <c r="E339" t="inlineStr">
        <is>
          <t>Apple</t>
        </is>
      </c>
      <c r="F339" t="inlineStr">
        <is>
          <t>iPhone 8</t>
        </is>
      </c>
      <c r="G339" s="16" t="n">
        <v>5</v>
      </c>
      <c r="H339" s="17" t="n">
        <v>649</v>
      </c>
      <c r="I339" s="17" t="n">
        <v>3245</v>
      </c>
    </row>
    <row r="340">
      <c r="B340" s="15" t="n">
        <v>43326</v>
      </c>
      <c r="C340" t="inlineStr">
        <is>
          <t>Graz</t>
        </is>
      </c>
      <c r="D340" t="inlineStr">
        <is>
          <t>Huber</t>
        </is>
      </c>
      <c r="E340" t="inlineStr">
        <is>
          <t>Apple</t>
        </is>
      </c>
      <c r="F340" t="inlineStr">
        <is>
          <t>MacBook Air</t>
        </is>
      </c>
      <c r="G340" s="16" t="n">
        <v>6</v>
      </c>
      <c r="H340" s="17" t="n">
        <v>1199</v>
      </c>
      <c r="I340" s="17" t="n">
        <v>7194</v>
      </c>
    </row>
    <row r="341">
      <c r="B341" s="15" t="n">
        <v>43328</v>
      </c>
      <c r="C341" t="inlineStr">
        <is>
          <t>Salzburg</t>
        </is>
      </c>
      <c r="D341" t="inlineStr">
        <is>
          <t>Wagner</t>
        </is>
      </c>
      <c r="E341" t="inlineStr">
        <is>
          <t>Samsung</t>
        </is>
      </c>
      <c r="F341" t="inlineStr">
        <is>
          <t>Galaxy S8</t>
        </is>
      </c>
      <c r="G341" s="16" t="n">
        <v>6</v>
      </c>
      <c r="H341" s="17" t="n">
        <v>599</v>
      </c>
      <c r="I341" s="17" t="n">
        <v>3594</v>
      </c>
    </row>
    <row r="342">
      <c r="B342" s="15" t="n">
        <v>43330</v>
      </c>
      <c r="C342" t="inlineStr">
        <is>
          <t>Graz</t>
        </is>
      </c>
      <c r="D342" t="inlineStr">
        <is>
          <t>Wagner</t>
        </is>
      </c>
      <c r="E342" t="inlineStr">
        <is>
          <t>Huawei</t>
        </is>
      </c>
      <c r="F342" t="inlineStr">
        <is>
          <t>MediaPad</t>
        </is>
      </c>
      <c r="G342" s="16" t="n">
        <v>6</v>
      </c>
      <c r="H342" s="17" t="n">
        <v>269</v>
      </c>
      <c r="I342" s="17" t="n">
        <v>1614</v>
      </c>
    </row>
    <row r="343">
      <c r="B343" s="15" t="n">
        <v>43331</v>
      </c>
      <c r="C343" t="inlineStr">
        <is>
          <t>Salzburg</t>
        </is>
      </c>
      <c r="D343" t="inlineStr">
        <is>
          <t>Huber</t>
        </is>
      </c>
      <c r="E343" t="inlineStr">
        <is>
          <t>Samsung</t>
        </is>
      </c>
      <c r="F343" t="inlineStr">
        <is>
          <t>Galaxy S8</t>
        </is>
      </c>
      <c r="G343" s="16" t="n">
        <v>2</v>
      </c>
      <c r="H343" s="17" t="n">
        <v>599</v>
      </c>
      <c r="I343" s="17" t="n">
        <v>1198</v>
      </c>
    </row>
    <row r="344">
      <c r="B344" s="15" t="n">
        <v>43332</v>
      </c>
      <c r="C344" t="inlineStr">
        <is>
          <t>Graz</t>
        </is>
      </c>
      <c r="D344" t="inlineStr">
        <is>
          <t>Steiner</t>
        </is>
      </c>
      <c r="E344" t="inlineStr">
        <is>
          <t>Sony</t>
        </is>
      </c>
      <c r="F344" t="inlineStr">
        <is>
          <t>Xperia XZ2</t>
        </is>
      </c>
      <c r="G344" s="16" t="n">
        <v>7</v>
      </c>
      <c r="H344" s="17" t="n">
        <v>699</v>
      </c>
      <c r="I344" s="17" t="n">
        <v>4893</v>
      </c>
    </row>
    <row r="345">
      <c r="B345" s="15" t="n">
        <v>43337</v>
      </c>
      <c r="C345" t="inlineStr">
        <is>
          <t>Salzburg</t>
        </is>
      </c>
      <c r="D345" t="inlineStr">
        <is>
          <t>Wagner</t>
        </is>
      </c>
      <c r="E345" t="inlineStr">
        <is>
          <t>Apple</t>
        </is>
      </c>
      <c r="F345" t="inlineStr">
        <is>
          <t>iPhone X</t>
        </is>
      </c>
      <c r="G345" s="16" t="n">
        <v>8</v>
      </c>
      <c r="H345" s="17" t="n">
        <v>1149</v>
      </c>
      <c r="I345" s="17" t="n">
        <v>9192</v>
      </c>
    </row>
    <row r="346">
      <c r="B346" s="15" t="n">
        <v>43337</v>
      </c>
      <c r="C346" t="inlineStr">
        <is>
          <t>Wien</t>
        </is>
      </c>
      <c r="D346" t="inlineStr">
        <is>
          <t>Berger</t>
        </is>
      </c>
      <c r="E346" t="inlineStr">
        <is>
          <t>Apple</t>
        </is>
      </c>
      <c r="F346" t="inlineStr">
        <is>
          <t>MacBook Air</t>
        </is>
      </c>
      <c r="G346" s="16" t="n">
        <v>9</v>
      </c>
      <c r="H346" s="17" t="n">
        <v>1199</v>
      </c>
      <c r="I346" s="17" t="n">
        <v>10791</v>
      </c>
    </row>
    <row r="347">
      <c r="B347" s="15" t="n">
        <v>43340</v>
      </c>
      <c r="C347" t="inlineStr">
        <is>
          <t>Wien</t>
        </is>
      </c>
      <c r="D347" t="inlineStr">
        <is>
          <t>Berger</t>
        </is>
      </c>
      <c r="E347" t="inlineStr">
        <is>
          <t>Sony</t>
        </is>
      </c>
      <c r="F347" t="inlineStr">
        <is>
          <t>Xperia XZ2</t>
        </is>
      </c>
      <c r="G347" s="16" t="n">
        <v>2</v>
      </c>
      <c r="H347" s="17" t="n">
        <v>699</v>
      </c>
      <c r="I347" s="17" t="n">
        <v>1398</v>
      </c>
    </row>
    <row r="348">
      <c r="B348" s="15" t="n">
        <v>43340</v>
      </c>
      <c r="C348" t="inlineStr">
        <is>
          <t>Graz</t>
        </is>
      </c>
      <c r="D348" t="inlineStr">
        <is>
          <t>Huber</t>
        </is>
      </c>
      <c r="E348" t="inlineStr">
        <is>
          <t>Huawei</t>
        </is>
      </c>
      <c r="F348" t="inlineStr">
        <is>
          <t>MediaPad</t>
        </is>
      </c>
      <c r="G348" s="16" t="n">
        <v>10</v>
      </c>
      <c r="H348" s="17" t="n">
        <v>269</v>
      </c>
      <c r="I348" s="17" t="n">
        <v>2690</v>
      </c>
    </row>
    <row r="349">
      <c r="B349" s="15" t="n">
        <v>43344</v>
      </c>
      <c r="C349" t="inlineStr">
        <is>
          <t>Wien</t>
        </is>
      </c>
      <c r="D349" t="inlineStr">
        <is>
          <t>Wagner</t>
        </is>
      </c>
      <c r="E349" t="inlineStr">
        <is>
          <t>Apple</t>
        </is>
      </c>
      <c r="F349" t="inlineStr">
        <is>
          <t>iPad Air</t>
        </is>
      </c>
      <c r="G349" s="16" t="n">
        <v>12</v>
      </c>
      <c r="H349" s="17" t="n">
        <v>549</v>
      </c>
      <c r="I349" s="17" t="n">
        <v>6588</v>
      </c>
    </row>
    <row r="350">
      <c r="B350" s="15" t="n">
        <v>43347</v>
      </c>
      <c r="C350" t="inlineStr">
        <is>
          <t>Graz</t>
        </is>
      </c>
      <c r="D350" t="inlineStr">
        <is>
          <t>Hoffmann</t>
        </is>
      </c>
      <c r="E350" t="inlineStr">
        <is>
          <t>Huawei</t>
        </is>
      </c>
      <c r="F350" t="inlineStr">
        <is>
          <t>P20</t>
        </is>
      </c>
      <c r="G350" s="16" t="n">
        <v>12</v>
      </c>
      <c r="H350" s="17" t="n">
        <v>499</v>
      </c>
      <c r="I350" s="17" t="n">
        <v>5988</v>
      </c>
    </row>
    <row r="351">
      <c r="B351" s="15" t="n">
        <v>43347</v>
      </c>
      <c r="C351" t="inlineStr">
        <is>
          <t>Linz</t>
        </is>
      </c>
      <c r="D351" t="inlineStr">
        <is>
          <t>Wagner</t>
        </is>
      </c>
      <c r="E351" t="inlineStr">
        <is>
          <t>Huawei</t>
        </is>
      </c>
      <c r="F351" t="inlineStr">
        <is>
          <t>MediaPad</t>
        </is>
      </c>
      <c r="G351" s="16" t="n">
        <v>10</v>
      </c>
      <c r="H351" s="17" t="n">
        <v>269</v>
      </c>
      <c r="I351" s="17" t="n">
        <v>2690</v>
      </c>
    </row>
    <row r="352">
      <c r="B352" s="15" t="n">
        <v>43350</v>
      </c>
      <c r="C352" t="inlineStr">
        <is>
          <t>Salzburg</t>
        </is>
      </c>
      <c r="D352" t="inlineStr">
        <is>
          <t>Steiner</t>
        </is>
      </c>
      <c r="E352" t="inlineStr">
        <is>
          <t>Apple</t>
        </is>
      </c>
      <c r="F352" t="inlineStr">
        <is>
          <t>MacBook Air</t>
        </is>
      </c>
      <c r="G352" s="16" t="n">
        <v>6</v>
      </c>
      <c r="H352" s="17" t="n">
        <v>1199</v>
      </c>
      <c r="I352" s="17" t="n">
        <v>7194</v>
      </c>
    </row>
    <row r="353">
      <c r="B353" s="15" t="n">
        <v>43351</v>
      </c>
      <c r="C353" t="inlineStr">
        <is>
          <t>Graz</t>
        </is>
      </c>
      <c r="D353" t="inlineStr">
        <is>
          <t>Steiner</t>
        </is>
      </c>
      <c r="E353" t="inlineStr">
        <is>
          <t>Huawei</t>
        </is>
      </c>
      <c r="F353" t="inlineStr">
        <is>
          <t>P20 Pro</t>
        </is>
      </c>
      <c r="G353" s="16" t="n">
        <v>5</v>
      </c>
      <c r="H353" s="17" t="n">
        <v>799</v>
      </c>
      <c r="I353" s="17" t="n">
        <v>3995</v>
      </c>
    </row>
    <row r="354">
      <c r="B354" s="15" t="n">
        <v>43351</v>
      </c>
      <c r="C354" t="inlineStr">
        <is>
          <t>Graz</t>
        </is>
      </c>
      <c r="D354" t="inlineStr">
        <is>
          <t>Wagner</t>
        </is>
      </c>
      <c r="E354" t="inlineStr">
        <is>
          <t>Apple</t>
        </is>
      </c>
      <c r="F354" t="inlineStr">
        <is>
          <t>iPhone X</t>
        </is>
      </c>
      <c r="G354" s="16" t="n">
        <v>1</v>
      </c>
      <c r="H354" s="17" t="n">
        <v>1149</v>
      </c>
      <c r="I354" s="17" t="n">
        <v>1149</v>
      </c>
    </row>
    <row r="355">
      <c r="B355" s="15" t="n">
        <v>43352</v>
      </c>
      <c r="C355" t="inlineStr">
        <is>
          <t>Wien</t>
        </is>
      </c>
      <c r="D355" t="inlineStr">
        <is>
          <t>Hoffmann</t>
        </is>
      </c>
      <c r="E355" t="inlineStr">
        <is>
          <t>Apple</t>
        </is>
      </c>
      <c r="F355" t="inlineStr">
        <is>
          <t>MacBook Air</t>
        </is>
      </c>
      <c r="G355" s="16" t="n">
        <v>8</v>
      </c>
      <c r="H355" s="17" t="n">
        <v>1199</v>
      </c>
      <c r="I355" s="17" t="n">
        <v>9592</v>
      </c>
    </row>
    <row r="356">
      <c r="B356" s="15" t="n">
        <v>43354</v>
      </c>
      <c r="C356" t="inlineStr">
        <is>
          <t>Linz</t>
        </is>
      </c>
      <c r="D356" t="inlineStr">
        <is>
          <t>Hoffmann</t>
        </is>
      </c>
      <c r="E356" t="inlineStr">
        <is>
          <t>Apple</t>
        </is>
      </c>
      <c r="F356" t="inlineStr">
        <is>
          <t>MacBook Air</t>
        </is>
      </c>
      <c r="G356" s="16" t="n">
        <v>5</v>
      </c>
      <c r="H356" s="17" t="n">
        <v>1199</v>
      </c>
      <c r="I356" s="17" t="n">
        <v>5995</v>
      </c>
    </row>
    <row r="357">
      <c r="B357" s="15" t="n">
        <v>43354</v>
      </c>
      <c r="C357" t="inlineStr">
        <is>
          <t>Salzburg</t>
        </is>
      </c>
      <c r="D357" t="inlineStr">
        <is>
          <t>Hoffmann</t>
        </is>
      </c>
      <c r="E357" t="inlineStr">
        <is>
          <t>Sony</t>
        </is>
      </c>
      <c r="F357" t="inlineStr">
        <is>
          <t>Xperia L2</t>
        </is>
      </c>
      <c r="G357" s="16" t="n">
        <v>3</v>
      </c>
      <c r="H357" s="17" t="n">
        <v>249</v>
      </c>
      <c r="I357" s="17" t="n">
        <v>747</v>
      </c>
    </row>
    <row r="358">
      <c r="B358" s="15" t="n">
        <v>43358</v>
      </c>
      <c r="C358" t="inlineStr">
        <is>
          <t>Graz</t>
        </is>
      </c>
      <c r="D358" t="inlineStr">
        <is>
          <t>Steiner</t>
        </is>
      </c>
      <c r="E358" t="inlineStr">
        <is>
          <t>Samsung</t>
        </is>
      </c>
      <c r="F358" t="inlineStr">
        <is>
          <t>Galaxy S8</t>
        </is>
      </c>
      <c r="G358" s="16" t="n">
        <v>7</v>
      </c>
      <c r="H358" s="17" t="n">
        <v>599</v>
      </c>
      <c r="I358" s="17" t="n">
        <v>4193</v>
      </c>
    </row>
    <row r="359">
      <c r="B359" s="15" t="n">
        <v>43358</v>
      </c>
      <c r="C359" t="inlineStr">
        <is>
          <t>Salzburg</t>
        </is>
      </c>
      <c r="D359" t="inlineStr">
        <is>
          <t>Moser</t>
        </is>
      </c>
      <c r="E359" t="inlineStr">
        <is>
          <t>Apple</t>
        </is>
      </c>
      <c r="F359" t="inlineStr">
        <is>
          <t>iPad Air</t>
        </is>
      </c>
      <c r="G359" s="16" t="n">
        <v>9</v>
      </c>
      <c r="H359" s="17" t="n">
        <v>549</v>
      </c>
      <c r="I359" s="17" t="n">
        <v>4941</v>
      </c>
    </row>
    <row r="360">
      <c r="B360" s="15" t="n">
        <v>43361</v>
      </c>
      <c r="C360" t="inlineStr">
        <is>
          <t>Linz</t>
        </is>
      </c>
      <c r="D360" t="inlineStr">
        <is>
          <t>Steiner</t>
        </is>
      </c>
      <c r="E360" t="inlineStr">
        <is>
          <t>Apple</t>
        </is>
      </c>
      <c r="F360" t="inlineStr">
        <is>
          <t>iPad Air</t>
        </is>
      </c>
      <c r="G360" s="16" t="n">
        <v>5</v>
      </c>
      <c r="H360" s="17" t="n">
        <v>549</v>
      </c>
      <c r="I360" s="17" t="n">
        <v>2745</v>
      </c>
    </row>
    <row r="361">
      <c r="B361" s="15" t="n">
        <v>43362</v>
      </c>
      <c r="C361" t="inlineStr">
        <is>
          <t>Wien</t>
        </is>
      </c>
      <c r="D361" t="inlineStr">
        <is>
          <t>Moser</t>
        </is>
      </c>
      <c r="E361" t="inlineStr">
        <is>
          <t>Sony</t>
        </is>
      </c>
      <c r="F361" t="inlineStr">
        <is>
          <t>Xperia XZ2</t>
        </is>
      </c>
      <c r="G361" s="16" t="n">
        <v>8</v>
      </c>
      <c r="H361" s="17" t="n">
        <v>699</v>
      </c>
      <c r="I361" s="17" t="n">
        <v>5592</v>
      </c>
    </row>
    <row r="362">
      <c r="B362" s="15" t="n">
        <v>43364</v>
      </c>
      <c r="C362" t="inlineStr">
        <is>
          <t>Linz</t>
        </is>
      </c>
      <c r="D362" t="inlineStr">
        <is>
          <t>Hoffmann</t>
        </is>
      </c>
      <c r="E362" t="inlineStr">
        <is>
          <t>Samsung</t>
        </is>
      </c>
      <c r="F362" t="inlineStr">
        <is>
          <t>Galaxy S8</t>
        </is>
      </c>
      <c r="G362" s="16" t="n">
        <v>6</v>
      </c>
      <c r="H362" s="17" t="n">
        <v>599</v>
      </c>
      <c r="I362" s="17" t="n">
        <v>3594</v>
      </c>
    </row>
    <row r="363">
      <c r="B363" s="15" t="n">
        <v>43365</v>
      </c>
      <c r="C363" t="inlineStr">
        <is>
          <t>Salzburg</t>
        </is>
      </c>
      <c r="D363" t="inlineStr">
        <is>
          <t>Berger</t>
        </is>
      </c>
      <c r="E363" t="inlineStr">
        <is>
          <t>Huawei</t>
        </is>
      </c>
      <c r="F363" t="inlineStr">
        <is>
          <t>MediaPad</t>
        </is>
      </c>
      <c r="G363" s="16" t="n">
        <v>3</v>
      </c>
      <c r="H363" s="17" t="n">
        <v>269</v>
      </c>
      <c r="I363" s="17" t="n">
        <v>807</v>
      </c>
    </row>
    <row r="364">
      <c r="B364" s="15" t="n">
        <v>43365</v>
      </c>
      <c r="C364" t="inlineStr">
        <is>
          <t>Wien</t>
        </is>
      </c>
      <c r="D364" t="inlineStr">
        <is>
          <t>Moser</t>
        </is>
      </c>
      <c r="E364" t="inlineStr">
        <is>
          <t>Apple</t>
        </is>
      </c>
      <c r="F364" t="inlineStr">
        <is>
          <t>iPhone 8</t>
        </is>
      </c>
      <c r="G364" s="16" t="n">
        <v>11</v>
      </c>
      <c r="H364" s="17" t="n">
        <v>649</v>
      </c>
      <c r="I364" s="17" t="n">
        <v>7139</v>
      </c>
    </row>
    <row r="365">
      <c r="B365" s="15" t="n">
        <v>43370</v>
      </c>
      <c r="C365" t="inlineStr">
        <is>
          <t>Wien</t>
        </is>
      </c>
      <c r="D365" t="inlineStr">
        <is>
          <t>Huber</t>
        </is>
      </c>
      <c r="E365" t="inlineStr">
        <is>
          <t>Samsung</t>
        </is>
      </c>
      <c r="F365" t="inlineStr">
        <is>
          <t>Galaxy S8</t>
        </is>
      </c>
      <c r="G365" s="16" t="n">
        <v>8</v>
      </c>
      <c r="H365" s="17" t="n">
        <v>599</v>
      </c>
      <c r="I365" s="17" t="n">
        <v>4792</v>
      </c>
    </row>
    <row r="366">
      <c r="B366" s="15" t="n">
        <v>43371</v>
      </c>
      <c r="C366" t="inlineStr">
        <is>
          <t>Wien</t>
        </is>
      </c>
      <c r="D366" t="inlineStr">
        <is>
          <t>Huber</t>
        </is>
      </c>
      <c r="E366" t="inlineStr">
        <is>
          <t>Apple</t>
        </is>
      </c>
      <c r="F366" t="inlineStr">
        <is>
          <t>MacBook Air</t>
        </is>
      </c>
      <c r="G366" s="16" t="n">
        <v>5</v>
      </c>
      <c r="H366" s="17" t="n">
        <v>1199</v>
      </c>
      <c r="I366" s="17" t="n">
        <v>5995</v>
      </c>
    </row>
    <row r="367">
      <c r="B367" s="15" t="n">
        <v>43375</v>
      </c>
      <c r="C367" t="inlineStr">
        <is>
          <t>Wien</t>
        </is>
      </c>
      <c r="D367" t="inlineStr">
        <is>
          <t>Wagner</t>
        </is>
      </c>
      <c r="E367" t="inlineStr">
        <is>
          <t>Huawei</t>
        </is>
      </c>
      <c r="F367" t="inlineStr">
        <is>
          <t>MediaPad</t>
        </is>
      </c>
      <c r="G367" s="16" t="n">
        <v>7</v>
      </c>
      <c r="H367" s="17" t="n">
        <v>269</v>
      </c>
      <c r="I367" s="17" t="n">
        <v>1883</v>
      </c>
    </row>
    <row r="368">
      <c r="B368" s="15" t="n">
        <v>43376</v>
      </c>
      <c r="C368" t="inlineStr">
        <is>
          <t>Graz</t>
        </is>
      </c>
      <c r="D368" t="inlineStr">
        <is>
          <t>Berger</t>
        </is>
      </c>
      <c r="E368" t="inlineStr">
        <is>
          <t>Samsung</t>
        </is>
      </c>
      <c r="F368" t="inlineStr">
        <is>
          <t>Galaxy S9</t>
        </is>
      </c>
      <c r="G368" s="16" t="n">
        <v>9</v>
      </c>
      <c r="H368" s="17" t="n">
        <v>849</v>
      </c>
      <c r="I368" s="17" t="n">
        <v>7641</v>
      </c>
    </row>
    <row r="369">
      <c r="B369" s="15" t="n">
        <v>43376</v>
      </c>
      <c r="C369" t="inlineStr">
        <is>
          <t>Linz</t>
        </is>
      </c>
      <c r="D369" t="inlineStr">
        <is>
          <t>Berger</t>
        </is>
      </c>
      <c r="E369" t="inlineStr">
        <is>
          <t>Samsung</t>
        </is>
      </c>
      <c r="F369" t="inlineStr">
        <is>
          <t>Galaxy S8</t>
        </is>
      </c>
      <c r="G369" s="16" t="n">
        <v>10</v>
      </c>
      <c r="H369" s="17" t="n">
        <v>599</v>
      </c>
      <c r="I369" s="17" t="n">
        <v>5990</v>
      </c>
    </row>
    <row r="370">
      <c r="B370" s="15" t="n">
        <v>43377</v>
      </c>
      <c r="C370" t="inlineStr">
        <is>
          <t>Graz</t>
        </is>
      </c>
      <c r="D370" t="inlineStr">
        <is>
          <t>Berger</t>
        </is>
      </c>
      <c r="E370" t="inlineStr">
        <is>
          <t>Samsung</t>
        </is>
      </c>
      <c r="F370" t="inlineStr">
        <is>
          <t>Galaxy S8</t>
        </is>
      </c>
      <c r="G370" s="16" t="n">
        <v>5</v>
      </c>
      <c r="H370" s="17" t="n">
        <v>599</v>
      </c>
      <c r="I370" s="17" t="n">
        <v>2995</v>
      </c>
    </row>
    <row r="371">
      <c r="B371" s="15" t="n">
        <v>43379</v>
      </c>
      <c r="C371" t="inlineStr">
        <is>
          <t>Graz</t>
        </is>
      </c>
      <c r="D371" t="inlineStr">
        <is>
          <t>Hoffmann</t>
        </is>
      </c>
      <c r="E371" t="inlineStr">
        <is>
          <t>Huawei</t>
        </is>
      </c>
      <c r="F371" t="inlineStr">
        <is>
          <t>P20 Pro</t>
        </is>
      </c>
      <c r="G371" s="16" t="n">
        <v>11</v>
      </c>
      <c r="H371" s="17" t="n">
        <v>799</v>
      </c>
      <c r="I371" s="17" t="n">
        <v>8789</v>
      </c>
    </row>
    <row r="372">
      <c r="B372" s="15" t="n">
        <v>43380</v>
      </c>
      <c r="C372" t="inlineStr">
        <is>
          <t>Linz</t>
        </is>
      </c>
      <c r="D372" t="inlineStr">
        <is>
          <t>Hoffmann</t>
        </is>
      </c>
      <c r="E372" t="inlineStr">
        <is>
          <t>Samsung</t>
        </is>
      </c>
      <c r="F372" t="inlineStr">
        <is>
          <t>Galaxy S8</t>
        </is>
      </c>
      <c r="G372" s="16" t="n">
        <v>12</v>
      </c>
      <c r="H372" s="17" t="n">
        <v>599</v>
      </c>
      <c r="I372" s="17" t="n">
        <v>7188</v>
      </c>
    </row>
    <row r="373">
      <c r="B373" s="15" t="n">
        <v>43380</v>
      </c>
      <c r="C373" t="inlineStr">
        <is>
          <t>Salzburg</t>
        </is>
      </c>
      <c r="D373" t="inlineStr">
        <is>
          <t>Hoffmann</t>
        </is>
      </c>
      <c r="E373" t="inlineStr">
        <is>
          <t>Apple</t>
        </is>
      </c>
      <c r="F373" t="inlineStr">
        <is>
          <t>MacBook Air</t>
        </is>
      </c>
      <c r="G373" s="16" t="n">
        <v>5</v>
      </c>
      <c r="H373" s="17" t="n">
        <v>1199</v>
      </c>
      <c r="I373" s="17" t="n">
        <v>5995</v>
      </c>
    </row>
    <row r="374">
      <c r="B374" s="15" t="n">
        <v>43384</v>
      </c>
      <c r="C374" t="inlineStr">
        <is>
          <t>Graz</t>
        </is>
      </c>
      <c r="D374" t="inlineStr">
        <is>
          <t>Berger</t>
        </is>
      </c>
      <c r="E374" t="inlineStr">
        <is>
          <t>Huawei</t>
        </is>
      </c>
      <c r="F374" t="inlineStr">
        <is>
          <t>MediaPad</t>
        </is>
      </c>
      <c r="G374" s="16" t="n">
        <v>4</v>
      </c>
      <c r="H374" s="17" t="n">
        <v>269</v>
      </c>
      <c r="I374" s="17" t="n">
        <v>1076</v>
      </c>
    </row>
    <row r="375">
      <c r="B375" s="15" t="n">
        <v>43385</v>
      </c>
      <c r="C375" t="inlineStr">
        <is>
          <t>Salzburg</t>
        </is>
      </c>
      <c r="D375" t="inlineStr">
        <is>
          <t>Berger</t>
        </is>
      </c>
      <c r="E375" t="inlineStr">
        <is>
          <t>Apple</t>
        </is>
      </c>
      <c r="F375" t="inlineStr">
        <is>
          <t>iPad Air</t>
        </is>
      </c>
      <c r="G375" s="16" t="n">
        <v>2</v>
      </c>
      <c r="H375" s="17" t="n">
        <v>549</v>
      </c>
      <c r="I375" s="17" t="n">
        <v>1098</v>
      </c>
    </row>
    <row r="376">
      <c r="B376" s="15" t="n">
        <v>43393</v>
      </c>
      <c r="C376" t="inlineStr">
        <is>
          <t>Salzburg</t>
        </is>
      </c>
      <c r="D376" t="inlineStr">
        <is>
          <t>Moser</t>
        </is>
      </c>
      <c r="E376" t="inlineStr">
        <is>
          <t>Samsung</t>
        </is>
      </c>
      <c r="F376" t="inlineStr">
        <is>
          <t>Galaxy S8</t>
        </is>
      </c>
      <c r="G376" s="16" t="n">
        <v>9</v>
      </c>
      <c r="H376" s="17" t="n">
        <v>599</v>
      </c>
      <c r="I376" s="17" t="n">
        <v>5391</v>
      </c>
    </row>
    <row r="377">
      <c r="B377" s="15" t="n">
        <v>43395</v>
      </c>
      <c r="C377" t="inlineStr">
        <is>
          <t>Salzburg</t>
        </is>
      </c>
      <c r="D377" t="inlineStr">
        <is>
          <t>Hoffmann</t>
        </is>
      </c>
      <c r="E377" t="inlineStr">
        <is>
          <t>Huawei</t>
        </is>
      </c>
      <c r="F377" t="inlineStr">
        <is>
          <t>P20 Pro</t>
        </is>
      </c>
      <c r="G377" s="16" t="n">
        <v>3</v>
      </c>
      <c r="H377" s="17" t="n">
        <v>799</v>
      </c>
      <c r="I377" s="17" t="n">
        <v>2397</v>
      </c>
    </row>
    <row r="378">
      <c r="B378" s="15" t="n">
        <v>43398</v>
      </c>
      <c r="C378" t="inlineStr">
        <is>
          <t>Wien</t>
        </is>
      </c>
      <c r="D378" t="inlineStr">
        <is>
          <t>Wagner</t>
        </is>
      </c>
      <c r="E378" t="inlineStr">
        <is>
          <t>Sony</t>
        </is>
      </c>
      <c r="F378" t="inlineStr">
        <is>
          <t>Xperia XZ2</t>
        </is>
      </c>
      <c r="G378" s="16" t="n">
        <v>6</v>
      </c>
      <c r="H378" s="17" t="n">
        <v>699</v>
      </c>
      <c r="I378" s="17" t="n">
        <v>4194</v>
      </c>
    </row>
    <row r="379">
      <c r="B379" s="15" t="n">
        <v>43400</v>
      </c>
      <c r="C379" t="inlineStr">
        <is>
          <t>Wien</t>
        </is>
      </c>
      <c r="D379" t="inlineStr">
        <is>
          <t>Hoffmann</t>
        </is>
      </c>
      <c r="E379" t="inlineStr">
        <is>
          <t>Samsung</t>
        </is>
      </c>
      <c r="F379" t="inlineStr">
        <is>
          <t>Galaxy Tab</t>
        </is>
      </c>
      <c r="G379" s="16" t="n">
        <v>2</v>
      </c>
      <c r="H379" s="17" t="n">
        <v>379</v>
      </c>
      <c r="I379" s="17" t="n">
        <v>758</v>
      </c>
    </row>
    <row r="380">
      <c r="B380" s="15" t="n">
        <v>43401</v>
      </c>
      <c r="C380" t="inlineStr">
        <is>
          <t>Linz</t>
        </is>
      </c>
      <c r="D380" t="inlineStr">
        <is>
          <t>Wagner</t>
        </is>
      </c>
      <c r="E380" t="inlineStr">
        <is>
          <t>Sony</t>
        </is>
      </c>
      <c r="F380" t="inlineStr">
        <is>
          <t>Xperia XZ2</t>
        </is>
      </c>
      <c r="G380" s="16" t="n">
        <v>7</v>
      </c>
      <c r="H380" s="17" t="n">
        <v>699</v>
      </c>
      <c r="I380" s="17" t="n">
        <v>4893</v>
      </c>
    </row>
    <row r="381">
      <c r="B381" s="15" t="n">
        <v>43405</v>
      </c>
      <c r="C381" t="inlineStr">
        <is>
          <t>Salzburg</t>
        </is>
      </c>
      <c r="D381" t="inlineStr">
        <is>
          <t>Wagner</t>
        </is>
      </c>
      <c r="E381" t="inlineStr">
        <is>
          <t>Huawei</t>
        </is>
      </c>
      <c r="F381" t="inlineStr">
        <is>
          <t>MediaPad</t>
        </is>
      </c>
      <c r="G381" s="16" t="n">
        <v>6</v>
      </c>
      <c r="H381" s="17" t="n">
        <v>269</v>
      </c>
      <c r="I381" s="17" t="n">
        <v>1614</v>
      </c>
    </row>
    <row r="382">
      <c r="B382" s="15" t="n">
        <v>43407</v>
      </c>
      <c r="C382" t="inlineStr">
        <is>
          <t>Wien</t>
        </is>
      </c>
      <c r="D382" t="inlineStr">
        <is>
          <t>Steiner</t>
        </is>
      </c>
      <c r="E382" t="inlineStr">
        <is>
          <t>Apple</t>
        </is>
      </c>
      <c r="F382" t="inlineStr">
        <is>
          <t>iPad Air</t>
        </is>
      </c>
      <c r="G382" s="16" t="n">
        <v>5</v>
      </c>
      <c r="H382" s="17" t="n">
        <v>549</v>
      </c>
      <c r="I382" s="17" t="n">
        <v>2745</v>
      </c>
    </row>
    <row r="383">
      <c r="B383" s="15" t="n">
        <v>43407</v>
      </c>
      <c r="C383" t="inlineStr">
        <is>
          <t>Graz</t>
        </is>
      </c>
      <c r="D383" t="inlineStr">
        <is>
          <t>Moser</t>
        </is>
      </c>
      <c r="E383" t="inlineStr">
        <is>
          <t>Huawei</t>
        </is>
      </c>
      <c r="F383" t="inlineStr">
        <is>
          <t>P20</t>
        </is>
      </c>
      <c r="G383" s="16" t="n">
        <v>5</v>
      </c>
      <c r="H383" s="17" t="n">
        <v>499</v>
      </c>
      <c r="I383" s="17" t="n">
        <v>2495</v>
      </c>
    </row>
    <row r="384">
      <c r="B384" s="15" t="n">
        <v>43408</v>
      </c>
      <c r="C384" t="inlineStr">
        <is>
          <t>Salzburg</t>
        </is>
      </c>
      <c r="D384" t="inlineStr">
        <is>
          <t>Wagner</t>
        </is>
      </c>
      <c r="E384" t="inlineStr">
        <is>
          <t>Apple</t>
        </is>
      </c>
      <c r="F384" t="inlineStr">
        <is>
          <t>iPhone 8</t>
        </is>
      </c>
      <c r="G384" s="16" t="n">
        <v>6</v>
      </c>
      <c r="H384" s="17" t="n">
        <v>649</v>
      </c>
      <c r="I384" s="17" t="n">
        <v>3894</v>
      </c>
    </row>
    <row r="385">
      <c r="B385" s="15" t="n">
        <v>43411</v>
      </c>
      <c r="C385" t="inlineStr">
        <is>
          <t>Graz</t>
        </is>
      </c>
      <c r="D385" t="inlineStr">
        <is>
          <t>Moser</t>
        </is>
      </c>
      <c r="E385" t="inlineStr">
        <is>
          <t>Apple</t>
        </is>
      </c>
      <c r="F385" t="inlineStr">
        <is>
          <t>iPad Air</t>
        </is>
      </c>
      <c r="G385" s="16" t="n">
        <v>8</v>
      </c>
      <c r="H385" s="17" t="n">
        <v>549</v>
      </c>
      <c r="I385" s="17" t="n">
        <v>4392</v>
      </c>
    </row>
    <row r="386">
      <c r="B386" s="15" t="n">
        <v>43412</v>
      </c>
      <c r="C386" t="inlineStr">
        <is>
          <t>Wien</t>
        </is>
      </c>
      <c r="D386" t="inlineStr">
        <is>
          <t>Hoffmann</t>
        </is>
      </c>
      <c r="E386" t="inlineStr">
        <is>
          <t>Apple</t>
        </is>
      </c>
      <c r="F386" t="inlineStr">
        <is>
          <t>iPhone X</t>
        </is>
      </c>
      <c r="G386" s="16" t="n">
        <v>6</v>
      </c>
      <c r="H386" s="17" t="n">
        <v>1149</v>
      </c>
      <c r="I386" s="17" t="n">
        <v>6894</v>
      </c>
    </row>
    <row r="387">
      <c r="B387" s="15" t="n">
        <v>43413</v>
      </c>
      <c r="C387" t="inlineStr">
        <is>
          <t>Linz</t>
        </is>
      </c>
      <c r="D387" t="inlineStr">
        <is>
          <t>Berger</t>
        </is>
      </c>
      <c r="E387" t="inlineStr">
        <is>
          <t>Apple</t>
        </is>
      </c>
      <c r="F387" t="inlineStr">
        <is>
          <t>iPhone 8</t>
        </is>
      </c>
      <c r="G387" s="16" t="n">
        <v>10</v>
      </c>
      <c r="H387" s="17" t="n">
        <v>649</v>
      </c>
      <c r="I387" s="17" t="n">
        <v>6490</v>
      </c>
    </row>
    <row r="388">
      <c r="B388" s="15" t="n">
        <v>43413</v>
      </c>
      <c r="C388" t="inlineStr">
        <is>
          <t>Linz</t>
        </is>
      </c>
      <c r="D388" t="inlineStr">
        <is>
          <t>Steiner</t>
        </is>
      </c>
      <c r="E388" t="inlineStr">
        <is>
          <t>Apple</t>
        </is>
      </c>
      <c r="F388" t="inlineStr">
        <is>
          <t>iPad Air</t>
        </is>
      </c>
      <c r="G388" s="16" t="n">
        <v>9</v>
      </c>
      <c r="H388" s="17" t="n">
        <v>549</v>
      </c>
      <c r="I388" s="17" t="n">
        <v>4941</v>
      </c>
    </row>
    <row r="389">
      <c r="B389" s="15" t="n">
        <v>43413</v>
      </c>
      <c r="C389" t="inlineStr">
        <is>
          <t>Graz</t>
        </is>
      </c>
      <c r="D389" t="inlineStr">
        <is>
          <t>Moser</t>
        </is>
      </c>
      <c r="E389" t="inlineStr">
        <is>
          <t>Huawei</t>
        </is>
      </c>
      <c r="F389" t="inlineStr">
        <is>
          <t>P20</t>
        </is>
      </c>
      <c r="G389" s="16" t="n">
        <v>3</v>
      </c>
      <c r="H389" s="17" t="n">
        <v>499</v>
      </c>
      <c r="I389" s="17" t="n">
        <v>1497</v>
      </c>
    </row>
    <row r="390">
      <c r="B390" s="15" t="n">
        <v>43413</v>
      </c>
      <c r="C390" t="inlineStr">
        <is>
          <t>Linz</t>
        </is>
      </c>
      <c r="D390" t="inlineStr">
        <is>
          <t>Wagner</t>
        </is>
      </c>
      <c r="E390" t="inlineStr">
        <is>
          <t>Huawei</t>
        </is>
      </c>
      <c r="F390" t="inlineStr">
        <is>
          <t>P20</t>
        </is>
      </c>
      <c r="G390" s="16" t="n">
        <v>9</v>
      </c>
      <c r="H390" s="17" t="n">
        <v>499</v>
      </c>
      <c r="I390" s="17" t="n">
        <v>4491</v>
      </c>
    </row>
    <row r="391">
      <c r="B391" s="15" t="n">
        <v>43414</v>
      </c>
      <c r="C391" t="inlineStr">
        <is>
          <t>Graz</t>
        </is>
      </c>
      <c r="D391" t="inlineStr">
        <is>
          <t>Wagner</t>
        </is>
      </c>
      <c r="E391" t="inlineStr">
        <is>
          <t>Samsung</t>
        </is>
      </c>
      <c r="F391" t="inlineStr">
        <is>
          <t>Galaxy Tab</t>
        </is>
      </c>
      <c r="G391" s="16" t="n">
        <v>11</v>
      </c>
      <c r="H391" s="17" t="n">
        <v>379</v>
      </c>
      <c r="I391" s="17" t="n">
        <v>4169</v>
      </c>
    </row>
    <row r="392">
      <c r="B392" s="15" t="n">
        <v>43417</v>
      </c>
      <c r="C392" t="inlineStr">
        <is>
          <t>Graz</t>
        </is>
      </c>
      <c r="D392" t="inlineStr">
        <is>
          <t>Steiner</t>
        </is>
      </c>
      <c r="E392" t="inlineStr">
        <is>
          <t>Apple</t>
        </is>
      </c>
      <c r="F392" t="inlineStr">
        <is>
          <t>iPhone X</t>
        </is>
      </c>
      <c r="G392" s="16" t="n">
        <v>9</v>
      </c>
      <c r="H392" s="17" t="n">
        <v>1149</v>
      </c>
      <c r="I392" s="17" t="n">
        <v>10341</v>
      </c>
    </row>
    <row r="393">
      <c r="B393" s="15" t="n">
        <v>43418</v>
      </c>
      <c r="C393" t="inlineStr">
        <is>
          <t>Salzburg</t>
        </is>
      </c>
      <c r="D393" t="inlineStr">
        <is>
          <t>Huber</t>
        </is>
      </c>
      <c r="E393" t="inlineStr">
        <is>
          <t>Huawei</t>
        </is>
      </c>
      <c r="F393" t="inlineStr">
        <is>
          <t>MediaPad</t>
        </is>
      </c>
      <c r="G393" s="16" t="n">
        <v>2</v>
      </c>
      <c r="H393" s="17" t="n">
        <v>269</v>
      </c>
      <c r="I393" s="17" t="n">
        <v>538</v>
      </c>
    </row>
    <row r="394">
      <c r="B394" s="15" t="n">
        <v>43419</v>
      </c>
      <c r="C394" t="inlineStr">
        <is>
          <t>Linz</t>
        </is>
      </c>
      <c r="D394" t="inlineStr">
        <is>
          <t>Hoffmann</t>
        </is>
      </c>
      <c r="E394" t="inlineStr">
        <is>
          <t>Huawei</t>
        </is>
      </c>
      <c r="F394" t="inlineStr">
        <is>
          <t>P20 Pro</t>
        </is>
      </c>
      <c r="G394" s="16" t="n">
        <v>1</v>
      </c>
      <c r="H394" s="17" t="n">
        <v>799</v>
      </c>
      <c r="I394" s="17" t="n">
        <v>799</v>
      </c>
    </row>
    <row r="395">
      <c r="B395" s="15" t="n">
        <v>43419</v>
      </c>
      <c r="C395" t="inlineStr">
        <is>
          <t>Wien</t>
        </is>
      </c>
      <c r="D395" t="inlineStr">
        <is>
          <t>Berger</t>
        </is>
      </c>
      <c r="E395" t="inlineStr">
        <is>
          <t>Samsung</t>
        </is>
      </c>
      <c r="F395" t="inlineStr">
        <is>
          <t>Galaxy S8</t>
        </is>
      </c>
      <c r="G395" s="16" t="n">
        <v>12</v>
      </c>
      <c r="H395" s="17" t="n">
        <v>599</v>
      </c>
      <c r="I395" s="17" t="n">
        <v>7188</v>
      </c>
    </row>
    <row r="396">
      <c r="B396" s="15" t="n">
        <v>43420</v>
      </c>
      <c r="C396" t="inlineStr">
        <is>
          <t>Wien</t>
        </is>
      </c>
      <c r="D396" t="inlineStr">
        <is>
          <t>Steiner</t>
        </is>
      </c>
      <c r="E396" t="inlineStr">
        <is>
          <t>Sony</t>
        </is>
      </c>
      <c r="F396" t="inlineStr">
        <is>
          <t>Xperia XZ2</t>
        </is>
      </c>
      <c r="G396" s="16" t="n">
        <v>8</v>
      </c>
      <c r="H396" s="17" t="n">
        <v>699</v>
      </c>
      <c r="I396" s="17" t="n">
        <v>5592</v>
      </c>
    </row>
    <row r="397">
      <c r="B397" s="15" t="n">
        <v>43420</v>
      </c>
      <c r="C397" t="inlineStr">
        <is>
          <t>Salzburg</t>
        </is>
      </c>
      <c r="D397" t="inlineStr">
        <is>
          <t>Huber</t>
        </is>
      </c>
      <c r="E397" t="inlineStr">
        <is>
          <t>Apple</t>
        </is>
      </c>
      <c r="F397" t="inlineStr">
        <is>
          <t>iPhone X</t>
        </is>
      </c>
      <c r="G397" s="16" t="n">
        <v>6</v>
      </c>
      <c r="H397" s="17" t="n">
        <v>1149</v>
      </c>
      <c r="I397" s="17" t="n">
        <v>6894</v>
      </c>
    </row>
    <row r="398">
      <c r="B398" s="15" t="n">
        <v>43422</v>
      </c>
      <c r="C398" t="inlineStr">
        <is>
          <t>Graz</t>
        </is>
      </c>
      <c r="D398" t="inlineStr">
        <is>
          <t>Moser</t>
        </is>
      </c>
      <c r="E398" t="inlineStr">
        <is>
          <t>Samsung</t>
        </is>
      </c>
      <c r="F398" t="inlineStr">
        <is>
          <t>Galaxy S8</t>
        </is>
      </c>
      <c r="G398" s="16" t="n">
        <v>6</v>
      </c>
      <c r="H398" s="17" t="n">
        <v>599</v>
      </c>
      <c r="I398" s="17" t="n">
        <v>3594</v>
      </c>
    </row>
    <row r="399">
      <c r="B399" s="15" t="n">
        <v>43422</v>
      </c>
      <c r="C399" t="inlineStr">
        <is>
          <t>Graz</t>
        </is>
      </c>
      <c r="D399" t="inlineStr">
        <is>
          <t>Berger</t>
        </is>
      </c>
      <c r="E399" t="inlineStr">
        <is>
          <t>Apple</t>
        </is>
      </c>
      <c r="F399" t="inlineStr">
        <is>
          <t>iPhone X</t>
        </is>
      </c>
      <c r="G399" s="16" t="n">
        <v>11</v>
      </c>
      <c r="H399" s="17" t="n">
        <v>1149</v>
      </c>
      <c r="I399" s="17" t="n">
        <v>12639</v>
      </c>
    </row>
    <row r="400">
      <c r="B400" s="15" t="n">
        <v>43424</v>
      </c>
      <c r="C400" t="inlineStr">
        <is>
          <t>Linz</t>
        </is>
      </c>
      <c r="D400" t="inlineStr">
        <is>
          <t>Huber</t>
        </is>
      </c>
      <c r="E400" t="inlineStr">
        <is>
          <t>Huawei</t>
        </is>
      </c>
      <c r="F400" t="inlineStr">
        <is>
          <t>P20</t>
        </is>
      </c>
      <c r="G400" s="16" t="n">
        <v>10</v>
      </c>
      <c r="H400" s="17" t="n">
        <v>499</v>
      </c>
      <c r="I400" s="17" t="n">
        <v>4990</v>
      </c>
    </row>
    <row r="401">
      <c r="B401" s="15" t="n">
        <v>43426</v>
      </c>
      <c r="C401" t="inlineStr">
        <is>
          <t>Salzburg</t>
        </is>
      </c>
      <c r="D401" t="inlineStr">
        <is>
          <t>Berger</t>
        </is>
      </c>
      <c r="E401" t="inlineStr">
        <is>
          <t>Huawei</t>
        </is>
      </c>
      <c r="F401" t="inlineStr">
        <is>
          <t>MediaPad</t>
        </is>
      </c>
      <c r="G401" s="16" t="n">
        <v>10</v>
      </c>
      <c r="H401" s="17" t="n">
        <v>269</v>
      </c>
      <c r="I401" s="17" t="n">
        <v>2690</v>
      </c>
    </row>
    <row r="402">
      <c r="B402" s="15" t="n">
        <v>43428</v>
      </c>
      <c r="C402" t="inlineStr">
        <is>
          <t>Salzburg</t>
        </is>
      </c>
      <c r="D402" t="inlineStr">
        <is>
          <t>Berger</t>
        </is>
      </c>
      <c r="E402" t="inlineStr">
        <is>
          <t>Apple</t>
        </is>
      </c>
      <c r="F402" t="inlineStr">
        <is>
          <t>iPad Air</t>
        </is>
      </c>
      <c r="G402" s="16" t="n">
        <v>9</v>
      </c>
      <c r="H402" s="17" t="n">
        <v>549</v>
      </c>
      <c r="I402" s="17" t="n">
        <v>4941</v>
      </c>
    </row>
    <row r="403">
      <c r="B403" s="15" t="n">
        <v>43428</v>
      </c>
      <c r="C403" t="inlineStr">
        <is>
          <t>Linz</t>
        </is>
      </c>
      <c r="D403" t="inlineStr">
        <is>
          <t>Berger</t>
        </is>
      </c>
      <c r="E403" t="inlineStr">
        <is>
          <t>Sony</t>
        </is>
      </c>
      <c r="F403" t="inlineStr">
        <is>
          <t>Xperia L2</t>
        </is>
      </c>
      <c r="G403" s="16" t="n">
        <v>3</v>
      </c>
      <c r="H403" s="17" t="n">
        <v>249</v>
      </c>
      <c r="I403" s="17" t="n">
        <v>747</v>
      </c>
    </row>
    <row r="404">
      <c r="B404" s="15" t="n">
        <v>43430</v>
      </c>
      <c r="C404" t="inlineStr">
        <is>
          <t>Salzburg</t>
        </is>
      </c>
      <c r="D404" t="inlineStr">
        <is>
          <t>Huber</t>
        </is>
      </c>
      <c r="E404" t="inlineStr">
        <is>
          <t>Apple</t>
        </is>
      </c>
      <c r="F404" t="inlineStr">
        <is>
          <t>iPhone X</t>
        </is>
      </c>
      <c r="G404" s="16" t="n">
        <v>4</v>
      </c>
      <c r="H404" s="17" t="n">
        <v>1149</v>
      </c>
      <c r="I404" s="17" t="n">
        <v>4596</v>
      </c>
    </row>
    <row r="405">
      <c r="B405" s="15" t="n">
        <v>43431</v>
      </c>
      <c r="C405" t="inlineStr">
        <is>
          <t>Wien</t>
        </is>
      </c>
      <c r="D405" t="inlineStr">
        <is>
          <t>Huber</t>
        </is>
      </c>
      <c r="E405" t="inlineStr">
        <is>
          <t>Samsung</t>
        </is>
      </c>
      <c r="F405" t="inlineStr">
        <is>
          <t>Galaxy S8</t>
        </is>
      </c>
      <c r="G405" s="16" t="n">
        <v>10</v>
      </c>
      <c r="H405" s="17" t="n">
        <v>599</v>
      </c>
      <c r="I405" s="17" t="n">
        <v>5990</v>
      </c>
    </row>
    <row r="406">
      <c r="B406" s="15" t="n">
        <v>43436</v>
      </c>
      <c r="C406" t="inlineStr">
        <is>
          <t>Wien</t>
        </is>
      </c>
      <c r="D406" t="inlineStr">
        <is>
          <t>Steiner</t>
        </is>
      </c>
      <c r="E406" t="inlineStr">
        <is>
          <t>Sony</t>
        </is>
      </c>
      <c r="F406" t="inlineStr">
        <is>
          <t>Xperia XZ2</t>
        </is>
      </c>
      <c r="G406" s="16" t="n">
        <v>4</v>
      </c>
      <c r="H406" s="17" t="n">
        <v>699</v>
      </c>
      <c r="I406" s="17" t="n">
        <v>2796</v>
      </c>
    </row>
    <row r="407">
      <c r="B407" s="15" t="n">
        <v>43440</v>
      </c>
      <c r="C407" t="inlineStr">
        <is>
          <t>Graz</t>
        </is>
      </c>
      <c r="D407" t="inlineStr">
        <is>
          <t>Berger</t>
        </is>
      </c>
      <c r="E407" t="inlineStr">
        <is>
          <t>Huawei</t>
        </is>
      </c>
      <c r="F407" t="inlineStr">
        <is>
          <t>P20</t>
        </is>
      </c>
      <c r="G407" s="16" t="n">
        <v>3</v>
      </c>
      <c r="H407" s="17" t="n">
        <v>499</v>
      </c>
      <c r="I407" s="17" t="n">
        <v>1497</v>
      </c>
    </row>
    <row r="408">
      <c r="B408" s="15" t="n">
        <v>43441</v>
      </c>
      <c r="C408" t="inlineStr">
        <is>
          <t>Wien</t>
        </is>
      </c>
      <c r="D408" t="inlineStr">
        <is>
          <t>Berger</t>
        </is>
      </c>
      <c r="E408" t="inlineStr">
        <is>
          <t>Apple</t>
        </is>
      </c>
      <c r="F408" t="inlineStr">
        <is>
          <t>iPhone X</t>
        </is>
      </c>
      <c r="G408" s="16" t="n">
        <v>9</v>
      </c>
      <c r="H408" s="17" t="n">
        <v>1149</v>
      </c>
      <c r="I408" s="17" t="n">
        <v>10341</v>
      </c>
    </row>
    <row r="409">
      <c r="B409" s="15" t="n">
        <v>43441</v>
      </c>
      <c r="C409" t="inlineStr">
        <is>
          <t>Graz</t>
        </is>
      </c>
      <c r="D409" t="inlineStr">
        <is>
          <t>Steiner</t>
        </is>
      </c>
      <c r="E409" t="inlineStr">
        <is>
          <t>Samsung</t>
        </is>
      </c>
      <c r="F409" t="inlineStr">
        <is>
          <t>Galaxy S8</t>
        </is>
      </c>
      <c r="G409" s="16" t="n">
        <v>7</v>
      </c>
      <c r="H409" s="17" t="n">
        <v>599</v>
      </c>
      <c r="I409" s="17" t="n">
        <v>4193</v>
      </c>
    </row>
    <row r="410">
      <c r="B410" s="15" t="n">
        <v>43450</v>
      </c>
      <c r="C410" t="inlineStr">
        <is>
          <t>Linz</t>
        </is>
      </c>
      <c r="D410" t="inlineStr">
        <is>
          <t>Moser</t>
        </is>
      </c>
      <c r="E410" t="inlineStr">
        <is>
          <t>Apple</t>
        </is>
      </c>
      <c r="F410" t="inlineStr">
        <is>
          <t>iPad Air</t>
        </is>
      </c>
      <c r="G410" s="16" t="n">
        <v>10</v>
      </c>
      <c r="H410" s="17" t="n">
        <v>549</v>
      </c>
      <c r="I410" s="17" t="n">
        <v>5490</v>
      </c>
    </row>
    <row r="411">
      <c r="B411" s="15" t="n">
        <v>43452</v>
      </c>
      <c r="C411" t="inlineStr">
        <is>
          <t>Wien</t>
        </is>
      </c>
      <c r="D411" t="inlineStr">
        <is>
          <t>Berger</t>
        </is>
      </c>
      <c r="E411" t="inlineStr">
        <is>
          <t>Apple</t>
        </is>
      </c>
      <c r="F411" t="inlineStr">
        <is>
          <t>iPhone 8</t>
        </is>
      </c>
      <c r="G411" s="16" t="n">
        <v>2</v>
      </c>
      <c r="H411" s="17" t="n">
        <v>649</v>
      </c>
      <c r="I411" s="17" t="n">
        <v>1298</v>
      </c>
    </row>
    <row r="412">
      <c r="B412" s="15" t="n">
        <v>43454</v>
      </c>
      <c r="C412" t="inlineStr">
        <is>
          <t>Salzburg</t>
        </is>
      </c>
      <c r="D412" t="inlineStr">
        <is>
          <t>Wagner</t>
        </is>
      </c>
      <c r="E412" t="inlineStr">
        <is>
          <t>Apple</t>
        </is>
      </c>
      <c r="F412" t="inlineStr">
        <is>
          <t>iPad Air</t>
        </is>
      </c>
      <c r="G412" s="16" t="n">
        <v>4</v>
      </c>
      <c r="H412" s="17" t="n">
        <v>549</v>
      </c>
      <c r="I412" s="17" t="n">
        <v>2196</v>
      </c>
    </row>
    <row r="413">
      <c r="B413" s="15" t="n">
        <v>43454</v>
      </c>
      <c r="C413" t="inlineStr">
        <is>
          <t>Salzburg</t>
        </is>
      </c>
      <c r="D413" t="inlineStr">
        <is>
          <t>Moser</t>
        </is>
      </c>
      <c r="E413" t="inlineStr">
        <is>
          <t>Samsung</t>
        </is>
      </c>
      <c r="F413" t="inlineStr">
        <is>
          <t>Galaxy S9</t>
        </is>
      </c>
      <c r="G413" s="16" t="n">
        <v>1</v>
      </c>
      <c r="H413" s="17" t="n">
        <v>849</v>
      </c>
      <c r="I413" s="17" t="n">
        <v>849</v>
      </c>
    </row>
    <row r="414">
      <c r="B414" s="15" t="n">
        <v>43455</v>
      </c>
      <c r="C414" t="inlineStr">
        <is>
          <t>Linz</t>
        </is>
      </c>
      <c r="D414" t="inlineStr">
        <is>
          <t>Berger</t>
        </is>
      </c>
      <c r="E414" t="inlineStr">
        <is>
          <t>Huawei</t>
        </is>
      </c>
      <c r="F414" t="inlineStr">
        <is>
          <t>P20 Pro</t>
        </is>
      </c>
      <c r="G414" s="16" t="n">
        <v>3</v>
      </c>
      <c r="H414" s="17" t="n">
        <v>799</v>
      </c>
      <c r="I414" s="17" t="n">
        <v>2397</v>
      </c>
    </row>
    <row r="415">
      <c r="B415" s="15" t="n">
        <v>43457</v>
      </c>
      <c r="C415" t="inlineStr">
        <is>
          <t>Linz</t>
        </is>
      </c>
      <c r="D415" t="inlineStr">
        <is>
          <t>Moser</t>
        </is>
      </c>
      <c r="E415" t="inlineStr">
        <is>
          <t>Huawei</t>
        </is>
      </c>
      <c r="F415" t="inlineStr">
        <is>
          <t>P20 Pro</t>
        </is>
      </c>
      <c r="G415" s="16" t="n">
        <v>5</v>
      </c>
      <c r="H415" s="17" t="n">
        <v>799</v>
      </c>
      <c r="I415" s="17" t="n">
        <v>3995</v>
      </c>
    </row>
    <row r="416">
      <c r="B416" s="15" t="n">
        <v>43459</v>
      </c>
      <c r="C416" t="inlineStr">
        <is>
          <t>Salzburg</t>
        </is>
      </c>
      <c r="D416" t="inlineStr">
        <is>
          <t>Wagner</t>
        </is>
      </c>
      <c r="E416" t="inlineStr">
        <is>
          <t>Sony</t>
        </is>
      </c>
      <c r="F416" t="inlineStr">
        <is>
          <t>Xperia L2</t>
        </is>
      </c>
      <c r="G416" s="16" t="n">
        <v>4</v>
      </c>
      <c r="H416" s="17" t="n">
        <v>249</v>
      </c>
      <c r="I416" s="17" t="n">
        <v>996</v>
      </c>
    </row>
    <row r="417">
      <c r="B417" s="15" t="n">
        <v>43459</v>
      </c>
      <c r="C417" t="inlineStr">
        <is>
          <t>Linz</t>
        </is>
      </c>
      <c r="D417" t="inlineStr">
        <is>
          <t>Hoffmann</t>
        </is>
      </c>
      <c r="E417" t="inlineStr">
        <is>
          <t>Sony</t>
        </is>
      </c>
      <c r="F417" t="inlineStr">
        <is>
          <t>Xperia L2</t>
        </is>
      </c>
      <c r="G417" s="16" t="n">
        <v>2</v>
      </c>
      <c r="H417" s="17" t="n">
        <v>249</v>
      </c>
      <c r="I417" s="17" t="n">
        <v>498</v>
      </c>
    </row>
    <row r="418">
      <c r="B418" s="15" t="n">
        <v>43460</v>
      </c>
      <c r="C418" t="inlineStr">
        <is>
          <t>Graz</t>
        </is>
      </c>
      <c r="D418" t="inlineStr">
        <is>
          <t>Huber</t>
        </is>
      </c>
      <c r="E418" t="inlineStr">
        <is>
          <t>Apple</t>
        </is>
      </c>
      <c r="F418" t="inlineStr">
        <is>
          <t>iPhone X</t>
        </is>
      </c>
      <c r="G418" s="16" t="n">
        <v>11</v>
      </c>
      <c r="H418" s="17" t="n">
        <v>1149</v>
      </c>
      <c r="I418" s="17" t="n">
        <v>12639</v>
      </c>
    </row>
    <row r="419">
      <c r="B419" s="15" t="n">
        <v>43461</v>
      </c>
      <c r="C419" t="inlineStr">
        <is>
          <t>Graz</t>
        </is>
      </c>
      <c r="D419" t="inlineStr">
        <is>
          <t>Steiner</t>
        </is>
      </c>
      <c r="E419" t="inlineStr">
        <is>
          <t>Samsung</t>
        </is>
      </c>
      <c r="F419" t="inlineStr">
        <is>
          <t>Galaxy S8</t>
        </is>
      </c>
      <c r="G419" s="16" t="n">
        <v>12</v>
      </c>
      <c r="H419" s="17" t="n">
        <v>599</v>
      </c>
      <c r="I419" s="17" t="n">
        <v>7188</v>
      </c>
    </row>
    <row r="420">
      <c r="B420" s="15" t="n">
        <v>43462</v>
      </c>
      <c r="C420" t="inlineStr">
        <is>
          <t>Salzburg</t>
        </is>
      </c>
      <c r="D420" t="inlineStr">
        <is>
          <t>Moser</t>
        </is>
      </c>
      <c r="E420" t="inlineStr">
        <is>
          <t>Sony</t>
        </is>
      </c>
      <c r="F420" t="inlineStr">
        <is>
          <t>Xperia L2</t>
        </is>
      </c>
      <c r="G420" s="16" t="n">
        <v>7</v>
      </c>
      <c r="H420" s="17" t="n">
        <v>249</v>
      </c>
      <c r="I420" s="17" t="n">
        <v>1743</v>
      </c>
    </row>
    <row r="421">
      <c r="B421" s="15" t="n">
        <v>43462</v>
      </c>
      <c r="C421" t="inlineStr">
        <is>
          <t>Salzburg</t>
        </is>
      </c>
      <c r="D421" t="inlineStr">
        <is>
          <t>Steiner</t>
        </is>
      </c>
      <c r="E421" t="inlineStr">
        <is>
          <t>Huawei</t>
        </is>
      </c>
      <c r="F421" t="inlineStr">
        <is>
          <t>P20 Pro</t>
        </is>
      </c>
      <c r="G421" s="16" t="n">
        <v>9</v>
      </c>
      <c r="H421" s="17" t="n">
        <v>799</v>
      </c>
      <c r="I421" s="17" t="n">
        <v>7191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B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22" customHeight="1">
      <c r="B1" s="1" t="inlineStr">
        <is>
          <t>Pivot</t>
        </is>
      </c>
    </row>
    <row r="2">
      <c r="B2" s="18" t="inlineStr">
        <is>
          <t>Hier ist Platz für deine Pivot-Tabellen.</t>
        </is>
      </c>
    </row>
    <row r="4" ht="42" customHeight="1">
      <c r="B4" s="2" t="inlineStr">
        <is>
          <t>Einfügen - Tabellen - PivotTable. Als Quelle wählst du die Tabelle Verkaeufe auf dem Blatt "Daten". Lege für jede Aufgabe aus dem PDF eine eigene Pivot-Tabelle an - so kannst du sie später vergleichen.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1:D1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62" customWidth="1" min="2" max="2"/>
    <col width="18" customWidth="1" min="3" max="3"/>
    <col width="46" customWidth="1" min="4" max="4"/>
  </cols>
  <sheetData>
    <row r="1" ht="22" customHeight="1">
      <c r="B1" s="1" t="inlineStr">
        <is>
          <t>1  Kontrollwerte zur PDF-Übung</t>
        </is>
      </c>
    </row>
    <row r="2">
      <c r="B2" s="18" t="inlineStr">
        <is>
          <t>Lies die Werte aus deiner Pivot-Tabelle ab und trage sie hier ein.</t>
        </is>
      </c>
    </row>
    <row r="4" ht="28" customHeight="1">
      <c r="B4" s="2" t="inlineStr">
        <is>
          <t>Diese Zahlen kommen alle aus den Aufgaben des PDF-Übungsteils. Wenn sie stimmen, hast du die Felder richtig angeordnet.</t>
        </is>
      </c>
    </row>
    <row r="6">
      <c r="B6" s="11" t="inlineStr">
        <is>
          <t>Kontrollwert aus deiner Pivot-Tabelle</t>
        </is>
      </c>
      <c r="C6" s="11" t="inlineStr">
        <is>
          <t>dein Wert</t>
        </is>
      </c>
      <c r="D6" s="11" t="inlineStr">
        <is>
          <t>Kontrolle</t>
        </is>
      </c>
    </row>
    <row r="7" ht="28" customHeight="1">
      <c r="B7" s="13" t="inlineStr">
        <is>
          <t>Aufgabe 1: Wie oft wurde das Produkt iPhone X verkauft (Anzahl der Zeilen)?</t>
        </is>
      </c>
      <c r="C7" s="19" t="n"/>
      <c r="D7" s="20">
        <f>IF(C7="","Kontrolle",IF(ABS(C7-37)&lt;0.5,"OK - richtig","noch nicht richtig"))</f>
        <v/>
      </c>
    </row>
    <row r="8" ht="14" customHeight="1">
      <c r="B8" s="13" t="inlineStr">
        <is>
          <t>Aufgabe 2: Wie hoch ist der Umsatz mit dem Produkt iPhone X?</t>
        </is>
      </c>
      <c r="C8" s="21" t="n"/>
      <c r="D8" s="20">
        <f>IF(C8="","Kontrolle",IF(ABS(C8-236694)&lt;0.5,"OK - richtig","noch nicht richtig"))</f>
        <v/>
      </c>
    </row>
    <row r="9" ht="14" customHeight="1">
      <c r="B9" s="13" t="inlineStr">
        <is>
          <t>Aufgabe 2: Gesamtumsatz über alle Produkte</t>
        </is>
      </c>
      <c r="C9" s="21" t="n"/>
      <c r="D9" s="20">
        <f>IF(C9="","Kontrolle",IF(ABS(C9-1807417)&lt;0.5,"OK - richtig","noch nicht richtig"))</f>
        <v/>
      </c>
    </row>
    <row r="10" ht="14" customHeight="1">
      <c r="B10" s="13" t="inlineStr">
        <is>
          <t>Aufgabe 3: Anteil des Produkts iPhone X am Gesamtergebnis in Prozent</t>
        </is>
      </c>
      <c r="C10" s="21" t="n"/>
      <c r="D10" s="20">
        <f>IF(C10="","Kontrolle",IF(ABS(C10-13.0957)&lt;0.01,"OK - richtig","noch nicht richtig"))</f>
        <v/>
      </c>
    </row>
    <row r="11" ht="14" customHeight="1">
      <c r="B11" s="13" t="inlineStr">
        <is>
          <t>Aufgabe 4: Umsatz des Verkäufers Hoffmann</t>
        </is>
      </c>
      <c r="C11" s="21" t="n"/>
      <c r="D11" s="20">
        <f>IF(C11="","Kontrolle",IF(ABS(C11-293730)&lt;0.5,"OK - richtig","noch nicht richtig"))</f>
        <v/>
      </c>
    </row>
    <row r="12" ht="14" customHeight="1">
      <c r="B12" s="13" t="inlineStr">
        <is>
          <t>Aufgabe 4: Durchschnittlicher Umsatz je Verkaufsvorgang von Hoffmann</t>
        </is>
      </c>
      <c r="C12" s="21" t="n"/>
      <c r="D12" s="20">
        <f>IF(C12="","Kontrolle",IF(ABS(C12-4196.1429)&lt;0.05,"OK - richtig","noch nicht richtig"))</f>
        <v/>
      </c>
    </row>
    <row r="13" ht="14" customHeight="1">
      <c r="B13" s="13" t="inlineStr">
        <is>
          <t>Aufgabe 4a: Umsatz von Hoffmann im Jahr 2017</t>
        </is>
      </c>
      <c r="C13" s="21" t="n"/>
      <c r="D13" s="20">
        <f>IF(C13="","Kontrolle",IF(ABS(C13-137140)&lt;0.5,"OK - richtig","noch nicht richtig"))</f>
        <v/>
      </c>
    </row>
    <row r="14" ht="14" customHeight="1">
      <c r="B14" s="13" t="inlineStr">
        <is>
          <t>Aufgabe 4d: Gesamtumsatz mit Apple-Produkten</t>
        </is>
      </c>
      <c r="C14" s="21" t="n"/>
      <c r="D14" s="20">
        <f>IF(C14="","Kontrolle",IF(ABS(C14-818663)&lt;0.5,"OK - richtig","noch nicht richtig"))</f>
        <v/>
      </c>
    </row>
    <row r="15" ht="14" customHeight="1">
      <c r="B15" s="13" t="inlineStr">
        <is>
          <t>Aufgabe 4e: Umsatz mit Apple-Produkten in der Filiale Wien</t>
        </is>
      </c>
      <c r="C15" s="21" t="n"/>
      <c r="D15" s="20">
        <f>IF(C15="","Kontrolle",IF(ABS(C15-173242)&lt;0.5,"OK - richtig","noch nicht richtig"))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1:D16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62" customWidth="1" min="2" max="2"/>
    <col width="18" customWidth="1" min="3" max="3"/>
    <col width="46" customWidth="1" min="4" max="4"/>
  </cols>
  <sheetData>
    <row r="1" ht="22" customHeight="1">
      <c r="B1" s="1" t="inlineStr">
        <is>
          <t>2  Zusatzaufgaben</t>
        </is>
      </c>
    </row>
    <row r="2">
      <c r="B2" s="18" t="inlineStr">
        <is>
          <t>Über den PDF-Übungsteil hinaus</t>
        </is>
      </c>
    </row>
    <row r="4" ht="30" customHeight="1">
      <c r="B4" s="22" t="inlineStr">
        <is>
          <t>Aufgabe 1:  Baue eine Pivot-Tabelle, die je Filiale und Jahr den Umsatz zeigt - Filiale in die Zeilen, Datum (gruppiert nach Jahren) in die Spalten.</t>
        </is>
      </c>
    </row>
    <row r="5" ht="15" customHeight="1">
      <c r="B5" s="22" t="inlineStr">
        <is>
          <t>Aufgabe 2:  Erzeuge ein Pivot-Chart zu dieser Auswertung.</t>
        </is>
      </c>
    </row>
    <row r="6" ht="14" customHeight="1">
      <c r="B6" s="14" t="inlineStr">
        <is>
          <t>Tipp: PivotTable-Analyse - PivotChart.</t>
        </is>
      </c>
    </row>
    <row r="7" ht="30" customHeight="1">
      <c r="B7" s="22" t="inlineStr">
        <is>
          <t>Aufgabe 3:  Ergänze ein berechnetes Feld Umsatz pro Stück (Umsatz geteilt durch Anzahl).</t>
        </is>
      </c>
    </row>
    <row r="8" ht="14" customHeight="1">
      <c r="B8" s="14" t="inlineStr">
        <is>
          <t>Tipp: PivotTable-Analyse - Felder, Elemente und Gruppen - Berechnetes Feld.</t>
        </is>
      </c>
    </row>
    <row r="9" ht="45" customHeight="1">
      <c r="B9" s="22" t="inlineStr">
        <is>
          <t>Aufgabe 4:  Füge unten in der Tabelle Verkaeufe eine neue Verkaufszeile hinzu und aktualisiere deine Pivot-Tabelle. Weil die Quelle eine echte Tabelle ist, wird die neue Zeile automatisch berücksichtigt.</t>
        </is>
      </c>
    </row>
    <row r="10" ht="28" customHeight="1">
      <c r="B10" s="14" t="inlineStr">
        <is>
          <t>Tipp: Rechtsklick in die Pivot-Tabelle - Aktualisieren (oder STRG + ALT + F5 für alles).</t>
        </is>
      </c>
    </row>
    <row r="12">
      <c r="B12" s="11" t="inlineStr">
        <is>
          <t>Kontrollfrage</t>
        </is>
      </c>
      <c r="C12" s="11" t="inlineStr">
        <is>
          <t>dein Ergebnis</t>
        </is>
      </c>
      <c r="D12" s="11" t="inlineStr">
        <is>
          <t>Kontrolle</t>
        </is>
      </c>
    </row>
    <row r="13">
      <c r="B13" s="23" t="inlineStr">
        <is>
          <t>Umsatz der Filiale Wien im Jahr 2018</t>
        </is>
      </c>
      <c r="C13" s="21" t="n"/>
      <c r="D13" s="20">
        <f>IF(C13="","Kontrolle",IF(ABS(C13-243716)&lt;0.5,"OK - richtig","noch nicht richtig"))</f>
        <v/>
      </c>
    </row>
    <row r="14">
      <c r="B14" s="23" t="inlineStr">
        <is>
          <t>Umsatz mit Samsung-Produkten gesamt</t>
        </is>
      </c>
      <c r="C14" s="21" t="n"/>
      <c r="D14" s="20">
        <f>IF(C14="","Kontrolle",IF(ABS(C14-474534)&lt;0.5,"OK - richtig","noch nicht richtig"))</f>
        <v/>
      </c>
    </row>
    <row r="15">
      <c r="B15" s="23" t="inlineStr">
        <is>
          <t>Anzahl aller Verkaufsvorgänge</t>
        </is>
      </c>
      <c r="C15" s="19" t="n"/>
      <c r="D15" s="20">
        <f>IF(C15="","Kontrolle",IF(ABS(C15-420)&lt;0.5,"OK - richtig","noch nicht richtig"))</f>
        <v/>
      </c>
    </row>
    <row r="16">
      <c r="B16" s="23" t="inlineStr">
        <is>
          <t>Umsatz des umsatzstärksten Produkts</t>
        </is>
      </c>
      <c r="C16" s="21" t="n"/>
      <c r="D16" s="20">
        <f>IF(C16="","Kontrolle",IF(ABS(C16-281765.0)&lt;0.5,"OK - richtig","noch nicht richtig"))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8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4" t="inlineStr">
        <is>
          <t>1 Kontrollwerte</t>
        </is>
      </c>
      <c r="C5" s="13" t="inlineStr">
        <is>
          <t>Aufgabe 1 und 2</t>
        </is>
      </c>
      <c r="D5" s="25" t="inlineStr">
        <is>
          <t>iPhone X: 37 Verkäufe. 236.694.00 EUR Umsatz</t>
        </is>
      </c>
    </row>
    <row r="6" ht="13" customHeight="1">
      <c r="B6" s="24" t="inlineStr"/>
      <c r="C6" s="13" t="inlineStr">
        <is>
          <t>Aufgabe 3</t>
        </is>
      </c>
      <c r="D6" s="25" t="inlineStr">
        <is>
          <t>Anteil iPhone X = 13.10 % von 1.807.417.00 EUR</t>
        </is>
      </c>
    </row>
    <row r="7" ht="13" customHeight="1">
      <c r="B7" s="24" t="inlineStr"/>
      <c r="C7" s="13" t="inlineStr">
        <is>
          <t>Aufgabe 4</t>
        </is>
      </c>
      <c r="D7" s="25" t="inlineStr">
        <is>
          <t>Hoffmann gesamt: 293.730.00 EUR. davon 2017: 137.140.00 EUR</t>
        </is>
      </c>
    </row>
    <row r="8" ht="13" customHeight="1">
      <c r="B8" s="24" t="inlineStr"/>
      <c r="C8" s="13" t="inlineStr">
        <is>
          <t>Aufgabe 4d/4e</t>
        </is>
      </c>
      <c r="D8" s="25" t="inlineStr">
        <is>
          <t>Apple gesamt: 818.663.00 EUR. davon Wien: 173.242.00 EUR</t>
        </is>
      </c>
    </row>
    <row r="9" ht="13" customHeight="1">
      <c r="B9" s="24" t="inlineStr">
        <is>
          <t>2 Zusatzaufgaben</t>
        </is>
      </c>
      <c r="C9" s="13" t="inlineStr">
        <is>
          <t>Berechnetes Feld</t>
        </is>
      </c>
      <c r="D9" s="25" t="inlineStr">
        <is>
          <t>PivotTable-Analyse - Felder, Elemente und Gruppen - Berechnetes Feld</t>
        </is>
      </c>
    </row>
    <row r="10" ht="26" customHeight="1">
      <c r="B10" s="24" t="inlineStr"/>
      <c r="C10" s="13" t="inlineStr">
        <is>
          <t>Datum gruppieren</t>
        </is>
      </c>
      <c r="D10" s="25" t="inlineStr">
        <is>
          <t>Auf ein Datum klicken - PivotTable-Analyse - Gruppieren - Auswahl gruppieren - Monate und Jahre</t>
        </is>
      </c>
    </row>
    <row r="11" ht="26" customHeight="1">
      <c r="B11" s="24" t="inlineStr"/>
      <c r="C11" s="13" t="inlineStr">
        <is>
          <t>Kontrollwerte</t>
        </is>
      </c>
      <c r="D11" s="25" t="inlineStr">
        <is>
          <t>Wien 2018: 243.716.00  |  Samsung: 474.534.00  |  Vorgänge: 420  |  stärkstes Produkt: MacBook Air mit 281.765.00</t>
        </is>
      </c>
    </row>
    <row r="12" ht="13" customHeight="1">
      <c r="B12" s="24" t="inlineStr"/>
      <c r="C12" s="13" t="inlineStr">
        <is>
          <t>Umsatzstärkste Filiale</t>
        </is>
      </c>
      <c r="D12" s="25" t="inlineStr">
        <is>
          <t>Graz mit 542.103.00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2026-08-21T07:44:14Z</dcterms:created>
  <dcterms:modified xsi:type="dcterms:W3CDTF">2026-08-21T07:44:14Z</dcterms:modified>
</cp:coreProperties>
</file>