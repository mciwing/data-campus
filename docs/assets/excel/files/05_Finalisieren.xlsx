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ten" sheetId="2" state="visible" r:id="rId2"/>
    <sheet name="1 Design" sheetId="3" state="visible" r:id="rId3"/>
    <sheet name="2 Drucklayout" sheetId="4" state="visible" r:id="rId4"/>
    <sheet name="3 Kommentare" sheetId="5" state="visible" r:id="rId5"/>
    <sheet name="4 Schutz" sheetId="6" state="visible" r:id="rId6"/>
    <sheet name="Muster Formular" sheetId="7" state="visible" r:id="rId7"/>
    <sheet name="5 Dokument prüfen" sheetId="8" state="visible" r:id="rId8"/>
    <sheet name="6 Weitergeben" sheetId="9" state="visible" r:id="rId9"/>
    <sheet name="Intern" sheetId="10" state="hidden" r:id="rId10"/>
    <sheet name="Lösungen" sheetId="11" state="visible" r:id="rId11"/>
  </sheets>
  <definedNames>
    <definedName name="_xlnm._FilterDatabase" localSheetId="1" hidden="1">'Daten'!$B$3:$I$183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sz val="11"/>
    </font>
    <font>
      <b val="1"/>
      <color rgb="002E75B6"/>
      <sz val="12"/>
    </font>
    <font>
      <b val="1"/>
      <color rgb="00FFFFFF"/>
      <sz val="11"/>
    </font>
    <font>
      <b val="1"/>
    </font>
    <font>
      <i val="1"/>
      <color rgb="00595959"/>
      <sz val="10"/>
    </font>
    <font>
      <b val="1"/>
      <sz val="11"/>
    </font>
    <font>
      <color rgb="00375623"/>
      <sz val="10"/>
    </font>
    <font>
      <name val="Consolas"/>
      <sz val="10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0" fontId="7" fillId="0" borderId="0" applyAlignment="1" pivotButton="0" quotePrefix="0" xfId="0">
      <alignment vertical="top" wrapText="1"/>
    </xf>
    <xf numFmtId="0" fontId="0" fillId="9" borderId="1" pivotButton="0" quotePrefix="0" xfId="0"/>
    <xf numFmtId="0" fontId="6" fillId="0" borderId="2" applyAlignment="1" pivotButton="0" quotePrefix="0" xfId="0">
      <alignment vertical="top" wrapText="1"/>
    </xf>
    <xf numFmtId="0" fontId="0" fillId="0" borderId="5" pivotButton="0" quotePrefix="0" xfId="0"/>
    <xf numFmtId="3" fontId="0" fillId="2" borderId="1" pivotButton="0" quotePrefix="0" xfId="0"/>
    <xf numFmtId="0" fontId="8" fillId="0" borderId="0" pivotButton="0" quotePrefix="0" xfId="0"/>
    <xf numFmtId="0" fontId="0" fillId="3" borderId="2" pivotButton="0" quotePrefix="0" xfId="0"/>
    <xf numFmtId="0" fontId="0" fillId="2" borderId="1" applyProtection="1" pivotButton="0" quotePrefix="0" xfId="0">
      <protection locked="0" hidden="0"/>
    </xf>
    <xf numFmtId="0" fontId="5" fillId="3" borderId="2" pivotButton="0" quotePrefix="0" xfId="0"/>
    <xf numFmtId="0" fontId="5" fillId="0" borderId="2" applyAlignment="1" pivotButton="0" quotePrefix="0" xfId="0">
      <alignment vertical="top"/>
    </xf>
    <xf numFmtId="0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Data Campus</author>
  </authors>
  <commentList>
    <comment ref="C6" authorId="0" shapeId="0">
      <text>
        <t>Das ist eine Notiz: ein dauerhafter Hinweis, der zur Zelle gehört. Fahre mit der Maus darüber, um sie zu lesen.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C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  <col width="80" customWidth="1" min="3" max="3"/>
  </cols>
  <sheetData>
    <row r="1" ht="22" customHeight="1">
      <c r="B1" s="1" t="inlineStr">
        <is>
          <t>Übung 05_Finalisieren.xlsx  -  Arbeitsmappen finalisieren</t>
        </is>
      </c>
    </row>
    <row r="4" ht="56" customHeight="1">
      <c r="B4" s="2" t="inlineStr">
        <is>
          <t>Diese Übung dreht sich um alles, was NACH der eigentlichen Auswertung kommt: einheitliches Aussehen, sauberer Ausdruck, Kommentare für die Zusammenarbeit, Schutz vor versehentlichen Änderungen und die Weitergabe in andere Programme.</t>
        </is>
      </c>
    </row>
    <row r="6">
      <c r="B6" s="3" t="inlineStr">
        <is>
          <t>So arbeitest du mit der Datei</t>
        </is>
      </c>
    </row>
    <row r="7" ht="14" customHeight="1">
      <c r="B7" s="2" t="inlineStr">
        <is>
          <t>1.  Lies die Aufgabe in Spalte B.</t>
        </is>
      </c>
    </row>
    <row r="8" ht="14" customHeight="1">
      <c r="B8" s="2" t="inlineStr">
        <is>
          <t>2.  Trage deine Lösung in die gelb hinterlegte Zelle ein.</t>
        </is>
      </c>
    </row>
    <row r="9" ht="28" customHeight="1">
      <c r="B9" s="2" t="inlineStr">
        <is>
          <t>3.  Wo eine Kontrollspalte steht, prüft sie deine Eingabe automatisch.</t>
        </is>
      </c>
    </row>
    <row r="10" ht="42" customHeight="1">
      <c r="B10" s="2" t="inlineStr">
        <is>
          <t>4.  Aufgaben zu Formatierung, Ansicht oder Schutz kann Excel nicht selbst prüfen - dort siehst du das Ergebnis direkt am Bildschirm bzw. vergleichst mit dem Zielbild.</t>
        </is>
      </c>
    </row>
    <row r="11" ht="28" customHeight="1">
      <c r="B11" s="2" t="inlineStr">
        <is>
          <t>5.  Kommst du nicht weiter: das Arbeitsblatt "Lösungen" ganz rechts zeigt den Weg.</t>
        </is>
      </c>
    </row>
    <row r="13">
      <c r="B13" s="3" t="inlineStr">
        <is>
          <t>Legende</t>
        </is>
      </c>
    </row>
    <row r="14">
      <c r="B14" s="4" t="inlineStr"/>
      <c r="C14" s="5" t="inlineStr">
        <is>
          <t>Hier bist du dran - Wert, Formel oder Formatierung eintragen</t>
        </is>
      </c>
    </row>
    <row r="15">
      <c r="B15" s="6" t="inlineStr"/>
      <c r="C15" s="5" t="inlineStr">
        <is>
          <t>Vorgegebene Daten - nicht verändern</t>
        </is>
      </c>
    </row>
    <row r="16">
      <c r="B16" s="7" t="inlineStr"/>
      <c r="C16" s="5" t="inlineStr">
        <is>
          <t>Startpunkt / Quelle einer Aktion</t>
        </is>
      </c>
    </row>
    <row r="17">
      <c r="B17" s="8" t="inlineStr"/>
      <c r="C17" s="5" t="inlineStr">
        <is>
          <t>Zielbereich einer Aktion</t>
        </is>
      </c>
    </row>
    <row r="18">
      <c r="B18" s="9" t="inlineStr"/>
      <c r="C18" s="5" t="inlineStr">
        <is>
          <t>Markierung für Struktur-Übungen (Zeilen, Spalten, Blätter)</t>
        </is>
      </c>
    </row>
    <row r="19">
      <c r="B19" s="10" t="inlineStr"/>
      <c r="C19" s="5" t="inlineStr">
        <is>
          <t>Dieser Bereich soll gelöscht oder korrigiert werden</t>
        </is>
      </c>
    </row>
    <row r="21">
      <c r="B21" s="3" t="inlineStr">
        <is>
          <t>Inhalt der Übung</t>
        </is>
      </c>
    </row>
    <row r="22">
      <c r="B22" s="11" t="inlineStr">
        <is>
          <t>Arbeitsblatt</t>
        </is>
      </c>
      <c r="C22" s="11" t="inlineStr">
        <is>
          <t>Inhalt</t>
        </is>
      </c>
    </row>
    <row r="23">
      <c r="B23" s="12" t="inlineStr">
        <is>
          <t>Daten</t>
        </is>
      </c>
      <c r="C23" s="13" t="inlineStr">
        <is>
          <t>Auswertungstabelle über mehrere Seiten - Grundlage für den Druck</t>
        </is>
      </c>
    </row>
    <row r="24">
      <c r="B24" s="12" t="inlineStr">
        <is>
          <t>1 Design</t>
        </is>
      </c>
      <c r="C24" s="13" t="inlineStr">
        <is>
          <t>Designs, Farben, Schriftarten, Gitternetzlinien</t>
        </is>
      </c>
    </row>
    <row r="25">
      <c r="B25" s="12" t="inlineStr">
        <is>
          <t>2 Drucklayout</t>
        </is>
      </c>
      <c r="C25" s="13" t="inlineStr">
        <is>
          <t>Ansichten, Seitenumbrüche, Druckbereich, Wiederholungszeilen</t>
        </is>
      </c>
    </row>
    <row r="26">
      <c r="B26" s="12" t="inlineStr">
        <is>
          <t>3 Kommentare</t>
        </is>
      </c>
      <c r="C26" s="13" t="inlineStr">
        <is>
          <t>Kommentare und Notizen - und wann man was verwendet</t>
        </is>
      </c>
    </row>
    <row r="27">
      <c r="B27" s="12" t="inlineStr">
        <is>
          <t>4 Schutz</t>
        </is>
      </c>
      <c r="C27" s="13" t="inlineStr">
        <is>
          <t>Zellen, Blätter, Struktur und ganze Dateien schützen</t>
        </is>
      </c>
    </row>
    <row r="28">
      <c r="B28" s="12" t="inlineStr">
        <is>
          <t>Muster Formular</t>
        </is>
      </c>
      <c r="C28" s="13" t="inlineStr">
        <is>
          <t>Bereits geschütztes Blatt - so soll dein Ergebnis funktionieren</t>
        </is>
      </c>
    </row>
    <row r="29">
      <c r="B29" s="12" t="inlineStr">
        <is>
          <t>5 Dokument prüfen</t>
        </is>
      </c>
      <c r="C29" s="13" t="inlineStr">
        <is>
          <t>Auf Probleme überprüfen, versteckte Inhalte finden</t>
        </is>
      </c>
    </row>
    <row r="30">
      <c r="B30" s="12" t="inlineStr">
        <is>
          <t>6 Weitergeben</t>
        </is>
      </c>
      <c r="C30" s="13" t="inlineStr">
        <is>
          <t>Diagramme und Tabellen in PowerPoint und Word einfügen</t>
        </is>
      </c>
    </row>
    <row r="32" ht="56" customHeight="1">
      <c r="B32" s="14" t="inlineStr">
        <is>
          <t>Diese Aufgaben verändern Ansicht, Schutz und Druckeinstellungen - Excel kann das nicht per Formel prüfen. Die Kontrolle ist hier die Seitenansicht (STRG + P) bzw. der Test, ob eine Änderung wirklich blockiert wird.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B1:I18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10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 ht="22" customHeight="1">
      <c r="B1" s="1" t="inlineStr">
        <is>
          <t>Daten</t>
        </is>
      </c>
    </row>
    <row r="2">
      <c r="B2" s="15" t="inlineStr">
        <is>
          <t>Auswertung je Bezirk - Grundlage für die Druckaufgaben</t>
        </is>
      </c>
    </row>
    <row r="3" ht="28" customHeight="1">
      <c r="B3" s="11" t="inlineStr">
        <is>
          <t>Bundesland</t>
        </is>
      </c>
      <c r="C3" s="11" t="inlineStr">
        <is>
          <t>Bezirk</t>
        </is>
      </c>
      <c r="D3" s="11" t="inlineStr">
        <is>
          <t>Jahr</t>
        </is>
      </c>
      <c r="E3" s="11" t="inlineStr">
        <is>
          <t>Einwohner</t>
        </is>
      </c>
      <c r="F3" s="11" t="inlineStr">
        <is>
          <t>Haushalte</t>
        </is>
      </c>
      <c r="G3" s="11" t="inlineStr">
        <is>
          <t>Ø Einkommen</t>
        </is>
      </c>
      <c r="H3" s="11" t="inlineStr">
        <is>
          <t>Kaufkraft</t>
        </is>
      </c>
      <c r="I3" s="11" t="inlineStr">
        <is>
          <t>Index</t>
        </is>
      </c>
    </row>
    <row r="4">
      <c r="B4" s="16" t="inlineStr">
        <is>
          <t>Tirol</t>
        </is>
      </c>
      <c r="C4" s="16" t="inlineStr">
        <is>
          <t>Innsbruck</t>
        </is>
      </c>
      <c r="D4" s="16" t="n">
        <v>2024</v>
      </c>
      <c r="E4" s="17" t="n">
        <v>127588</v>
      </c>
      <c r="F4" s="17" t="n">
        <v>50641</v>
      </c>
      <c r="G4" s="17" t="n">
        <v>43258</v>
      </c>
      <c r="H4" s="18" t="n">
        <v>5519.2</v>
      </c>
      <c r="I4" s="18" t="n">
        <v>108.1</v>
      </c>
    </row>
    <row r="5">
      <c r="B5" s="16" t="inlineStr">
        <is>
          <t>Tirol</t>
        </is>
      </c>
      <c r="C5" s="16" t="inlineStr">
        <is>
          <t>Innsbruck</t>
        </is>
      </c>
      <c r="D5" s="16" t="n">
        <v>2025</v>
      </c>
      <c r="E5" s="17" t="n">
        <v>127445</v>
      </c>
      <c r="F5" s="17" t="n">
        <v>55297</v>
      </c>
      <c r="G5" s="17" t="n">
        <v>47247</v>
      </c>
      <c r="H5" s="18" t="n">
        <v>6021.4</v>
      </c>
      <c r="I5" s="18" t="n">
        <v>118.1</v>
      </c>
    </row>
    <row r="6">
      <c r="B6" s="16" t="inlineStr">
        <is>
          <t>Tirol</t>
        </is>
      </c>
      <c r="C6" s="16" t="inlineStr">
        <is>
          <t>Innsbruck</t>
        </is>
      </c>
      <c r="D6" s="16" t="n">
        <v>2026</v>
      </c>
      <c r="E6" s="17" t="n">
        <v>58781</v>
      </c>
      <c r="F6" s="17" t="n">
        <v>27847</v>
      </c>
      <c r="G6" s="17" t="n">
        <v>44774</v>
      </c>
      <c r="H6" s="18" t="n">
        <v>2631.9</v>
      </c>
      <c r="I6" s="18" t="n">
        <v>111.9</v>
      </c>
    </row>
    <row r="7">
      <c r="B7" s="16" t="inlineStr">
        <is>
          <t>Tirol</t>
        </is>
      </c>
      <c r="C7" s="16" t="inlineStr">
        <is>
          <t>Kufstein</t>
        </is>
      </c>
      <c r="D7" s="16" t="n">
        <v>2024</v>
      </c>
      <c r="E7" s="17" t="n">
        <v>133718</v>
      </c>
      <c r="F7" s="17" t="n">
        <v>56232</v>
      </c>
      <c r="G7" s="17" t="n">
        <v>34100</v>
      </c>
      <c r="H7" s="18" t="n">
        <v>4559.8</v>
      </c>
      <c r="I7" s="18" t="n">
        <v>85.2</v>
      </c>
    </row>
    <row r="8">
      <c r="B8" s="16" t="inlineStr">
        <is>
          <t>Tirol</t>
        </is>
      </c>
      <c r="C8" s="16" t="inlineStr">
        <is>
          <t>Kufstein</t>
        </is>
      </c>
      <c r="D8" s="16" t="n">
        <v>2025</v>
      </c>
      <c r="E8" s="17" t="n">
        <v>33673</v>
      </c>
      <c r="F8" s="17" t="n">
        <v>14847</v>
      </c>
      <c r="G8" s="17" t="n">
        <v>32646</v>
      </c>
      <c r="H8" s="18" t="n">
        <v>1099.3</v>
      </c>
      <c r="I8" s="18" t="n">
        <v>81.59999999999999</v>
      </c>
    </row>
    <row r="9">
      <c r="B9" s="16" t="inlineStr">
        <is>
          <t>Tirol</t>
        </is>
      </c>
      <c r="C9" s="16" t="inlineStr">
        <is>
          <t>Kufstein</t>
        </is>
      </c>
      <c r="D9" s="16" t="n">
        <v>2026</v>
      </c>
      <c r="E9" s="17" t="n">
        <v>32768</v>
      </c>
      <c r="F9" s="17" t="n">
        <v>14104</v>
      </c>
      <c r="G9" s="17" t="n">
        <v>50722</v>
      </c>
      <c r="H9" s="18" t="n">
        <v>1662.1</v>
      </c>
      <c r="I9" s="18" t="n">
        <v>126.8</v>
      </c>
    </row>
    <row r="10">
      <c r="B10" s="16" t="inlineStr">
        <is>
          <t>Tirol</t>
        </is>
      </c>
      <c r="C10" s="16" t="inlineStr">
        <is>
          <t>Schwaz</t>
        </is>
      </c>
      <c r="D10" s="16" t="n">
        <v>2024</v>
      </c>
      <c r="E10" s="17" t="n">
        <v>175317</v>
      </c>
      <c r="F10" s="17" t="n">
        <v>86570</v>
      </c>
      <c r="G10" s="17" t="n">
        <v>40981</v>
      </c>
      <c r="H10" s="18" t="n">
        <v>7184.7</v>
      </c>
      <c r="I10" s="18" t="n">
        <v>102.5</v>
      </c>
    </row>
    <row r="11">
      <c r="B11" s="16" t="inlineStr">
        <is>
          <t>Tirol</t>
        </is>
      </c>
      <c r="C11" s="16" t="inlineStr">
        <is>
          <t>Schwaz</t>
        </is>
      </c>
      <c r="D11" s="16" t="n">
        <v>2025</v>
      </c>
      <c r="E11" s="17" t="n">
        <v>127749</v>
      </c>
      <c r="F11" s="17" t="n">
        <v>53398</v>
      </c>
      <c r="G11" s="17" t="n">
        <v>48170</v>
      </c>
      <c r="H11" s="18" t="n">
        <v>6153.7</v>
      </c>
      <c r="I11" s="18" t="n">
        <v>120.4</v>
      </c>
    </row>
    <row r="12">
      <c r="B12" s="16" t="inlineStr">
        <is>
          <t>Tirol</t>
        </is>
      </c>
      <c r="C12" s="16" t="inlineStr">
        <is>
          <t>Schwaz</t>
        </is>
      </c>
      <c r="D12" s="16" t="n">
        <v>2026</v>
      </c>
      <c r="E12" s="17" t="n">
        <v>179412</v>
      </c>
      <c r="F12" s="17" t="n">
        <v>85658</v>
      </c>
      <c r="G12" s="17" t="n">
        <v>28491</v>
      </c>
      <c r="H12" s="18" t="n">
        <v>5111.6</v>
      </c>
      <c r="I12" s="18" t="n">
        <v>71.2</v>
      </c>
    </row>
    <row r="13">
      <c r="B13" s="16" t="inlineStr">
        <is>
          <t>Tirol</t>
        </is>
      </c>
      <c r="C13" s="16" t="inlineStr">
        <is>
          <t>Imst</t>
        </is>
      </c>
      <c r="D13" s="16" t="n">
        <v>2024</v>
      </c>
      <c r="E13" s="17" t="n">
        <v>147511</v>
      </c>
      <c r="F13" s="17" t="n">
        <v>72383</v>
      </c>
      <c r="G13" s="17" t="n">
        <v>29168</v>
      </c>
      <c r="H13" s="18" t="n">
        <v>4302.6</v>
      </c>
      <c r="I13" s="18" t="n">
        <v>72.90000000000001</v>
      </c>
    </row>
    <row r="14">
      <c r="B14" s="16" t="inlineStr">
        <is>
          <t>Tirol</t>
        </is>
      </c>
      <c r="C14" s="16" t="inlineStr">
        <is>
          <t>Imst</t>
        </is>
      </c>
      <c r="D14" s="16" t="n">
        <v>2025</v>
      </c>
      <c r="E14" s="17" t="n">
        <v>58861</v>
      </c>
      <c r="F14" s="17" t="n">
        <v>23286</v>
      </c>
      <c r="G14" s="17" t="n">
        <v>47648</v>
      </c>
      <c r="H14" s="18" t="n">
        <v>2804.6</v>
      </c>
      <c r="I14" s="18" t="n">
        <v>119.1</v>
      </c>
    </row>
    <row r="15">
      <c r="B15" s="16" t="inlineStr">
        <is>
          <t>Tirol</t>
        </is>
      </c>
      <c r="C15" s="16" t="inlineStr">
        <is>
          <t>Imst</t>
        </is>
      </c>
      <c r="D15" s="16" t="n">
        <v>2026</v>
      </c>
      <c r="E15" s="17" t="n">
        <v>16885</v>
      </c>
      <c r="F15" s="17" t="n">
        <v>6844</v>
      </c>
      <c r="G15" s="17" t="n">
        <v>38691</v>
      </c>
      <c r="H15" s="18" t="n">
        <v>653.3</v>
      </c>
      <c r="I15" s="18" t="n">
        <v>96.7</v>
      </c>
    </row>
    <row r="16">
      <c r="B16" s="16" t="inlineStr">
        <is>
          <t>Tirol</t>
        </is>
      </c>
      <c r="C16" s="16" t="inlineStr">
        <is>
          <t>Landeck</t>
        </is>
      </c>
      <c r="D16" s="16" t="n">
        <v>2024</v>
      </c>
      <c r="E16" s="17" t="n">
        <v>124482</v>
      </c>
      <c r="F16" s="17" t="n">
        <v>52868</v>
      </c>
      <c r="G16" s="17" t="n">
        <v>34400</v>
      </c>
      <c r="H16" s="18" t="n">
        <v>4282.2</v>
      </c>
      <c r="I16" s="18" t="n">
        <v>86</v>
      </c>
    </row>
    <row r="17">
      <c r="B17" s="16" t="inlineStr">
        <is>
          <t>Tirol</t>
        </is>
      </c>
      <c r="C17" s="16" t="inlineStr">
        <is>
          <t>Landeck</t>
        </is>
      </c>
      <c r="D17" s="16" t="n">
        <v>2025</v>
      </c>
      <c r="E17" s="17" t="n">
        <v>145085</v>
      </c>
      <c r="F17" s="17" t="n">
        <v>67790</v>
      </c>
      <c r="G17" s="17" t="n">
        <v>37638</v>
      </c>
      <c r="H17" s="18" t="n">
        <v>5460.7</v>
      </c>
      <c r="I17" s="18" t="n">
        <v>94.09999999999999</v>
      </c>
    </row>
    <row r="18">
      <c r="B18" s="16" t="inlineStr">
        <is>
          <t>Tirol</t>
        </is>
      </c>
      <c r="C18" s="16" t="inlineStr">
        <is>
          <t>Landeck</t>
        </is>
      </c>
      <c r="D18" s="16" t="n">
        <v>2026</v>
      </c>
      <c r="E18" s="17" t="n">
        <v>140012</v>
      </c>
      <c r="F18" s="17" t="n">
        <v>69909</v>
      </c>
      <c r="G18" s="17" t="n">
        <v>30784</v>
      </c>
      <c r="H18" s="18" t="n">
        <v>4310.1</v>
      </c>
      <c r="I18" s="18" t="n">
        <v>77</v>
      </c>
    </row>
    <row r="19">
      <c r="B19" s="16" t="inlineStr">
        <is>
          <t>Tirol</t>
        </is>
      </c>
      <c r="C19" s="16" t="inlineStr">
        <is>
          <t>Reutte</t>
        </is>
      </c>
      <c r="D19" s="16" t="n">
        <v>2024</v>
      </c>
      <c r="E19" s="17" t="n">
        <v>128886</v>
      </c>
      <c r="F19" s="17" t="n">
        <v>53862</v>
      </c>
      <c r="G19" s="17" t="n">
        <v>41329</v>
      </c>
      <c r="H19" s="18" t="n">
        <v>5326.7</v>
      </c>
      <c r="I19" s="18" t="n">
        <v>103.3</v>
      </c>
    </row>
    <row r="20">
      <c r="B20" s="16" t="inlineStr">
        <is>
          <t>Tirol</t>
        </is>
      </c>
      <c r="C20" s="16" t="inlineStr">
        <is>
          <t>Reutte</t>
        </is>
      </c>
      <c r="D20" s="16" t="n">
        <v>2025</v>
      </c>
      <c r="E20" s="17" t="n">
        <v>153511</v>
      </c>
      <c r="F20" s="17" t="n">
        <v>59101</v>
      </c>
      <c r="G20" s="17" t="n">
        <v>30726</v>
      </c>
      <c r="H20" s="18" t="n">
        <v>4716.8</v>
      </c>
      <c r="I20" s="18" t="n">
        <v>76.8</v>
      </c>
    </row>
    <row r="21">
      <c r="B21" s="16" t="inlineStr">
        <is>
          <t>Tirol</t>
        </is>
      </c>
      <c r="C21" s="16" t="inlineStr">
        <is>
          <t>Reutte</t>
        </is>
      </c>
      <c r="D21" s="16" t="n">
        <v>2026</v>
      </c>
      <c r="E21" s="17" t="n">
        <v>194548</v>
      </c>
      <c r="F21" s="17" t="n">
        <v>90386</v>
      </c>
      <c r="G21" s="17" t="n">
        <v>35525</v>
      </c>
      <c r="H21" s="18" t="n">
        <v>6911.3</v>
      </c>
      <c r="I21" s="18" t="n">
        <v>88.8</v>
      </c>
    </row>
    <row r="22">
      <c r="B22" s="16" t="inlineStr">
        <is>
          <t>Tirol</t>
        </is>
      </c>
      <c r="C22" s="16" t="inlineStr">
        <is>
          <t>Lienz</t>
        </is>
      </c>
      <c r="D22" s="16" t="n">
        <v>2024</v>
      </c>
      <c r="E22" s="17" t="n">
        <v>143449</v>
      </c>
      <c r="F22" s="17" t="n">
        <v>66001</v>
      </c>
      <c r="G22" s="17" t="n">
        <v>30301</v>
      </c>
      <c r="H22" s="18" t="n">
        <v>4346.6</v>
      </c>
      <c r="I22" s="18" t="n">
        <v>75.8</v>
      </c>
    </row>
    <row r="23">
      <c r="B23" s="16" t="inlineStr">
        <is>
          <t>Tirol</t>
        </is>
      </c>
      <c r="C23" s="16" t="inlineStr">
        <is>
          <t>Lienz</t>
        </is>
      </c>
      <c r="D23" s="16" t="n">
        <v>2025</v>
      </c>
      <c r="E23" s="17" t="n">
        <v>156624</v>
      </c>
      <c r="F23" s="17" t="n">
        <v>63674</v>
      </c>
      <c r="G23" s="17" t="n">
        <v>41120</v>
      </c>
      <c r="H23" s="18" t="n">
        <v>6440.4</v>
      </c>
      <c r="I23" s="18" t="n">
        <v>102.8</v>
      </c>
    </row>
    <row r="24">
      <c r="B24" s="16" t="inlineStr">
        <is>
          <t>Tirol</t>
        </is>
      </c>
      <c r="C24" s="16" t="inlineStr">
        <is>
          <t>Lienz</t>
        </is>
      </c>
      <c r="D24" s="16" t="n">
        <v>2026</v>
      </c>
      <c r="E24" s="17" t="n">
        <v>37259</v>
      </c>
      <c r="F24" s="17" t="n">
        <v>14856</v>
      </c>
      <c r="G24" s="17" t="n">
        <v>40665</v>
      </c>
      <c r="H24" s="18" t="n">
        <v>1515.1</v>
      </c>
      <c r="I24" s="18" t="n">
        <v>101.7</v>
      </c>
    </row>
    <row r="25">
      <c r="B25" s="16" t="inlineStr">
        <is>
          <t>Tirol</t>
        </is>
      </c>
      <c r="C25" s="16" t="inlineStr">
        <is>
          <t>Kitzbühel</t>
        </is>
      </c>
      <c r="D25" s="16" t="n">
        <v>2024</v>
      </c>
      <c r="E25" s="17" t="n">
        <v>26518</v>
      </c>
      <c r="F25" s="17" t="n">
        <v>10298</v>
      </c>
      <c r="G25" s="17" t="n">
        <v>50442</v>
      </c>
      <c r="H25" s="18" t="n">
        <v>1337.6</v>
      </c>
      <c r="I25" s="18" t="n">
        <v>126.1</v>
      </c>
    </row>
    <row r="26">
      <c r="B26" s="16" t="inlineStr">
        <is>
          <t>Tirol</t>
        </is>
      </c>
      <c r="C26" s="16" t="inlineStr">
        <is>
          <t>Kitzbühel</t>
        </is>
      </c>
      <c r="D26" s="16" t="n">
        <v>2025</v>
      </c>
      <c r="E26" s="17" t="n">
        <v>9142</v>
      </c>
      <c r="F26" s="17" t="n">
        <v>4295</v>
      </c>
      <c r="G26" s="17" t="n">
        <v>29714</v>
      </c>
      <c r="H26" s="18" t="n">
        <v>271.6</v>
      </c>
      <c r="I26" s="18" t="n">
        <v>74.3</v>
      </c>
    </row>
    <row r="27">
      <c r="B27" s="16" t="inlineStr">
        <is>
          <t>Tirol</t>
        </is>
      </c>
      <c r="C27" s="16" t="inlineStr">
        <is>
          <t>Kitzbühel</t>
        </is>
      </c>
      <c r="D27" s="16" t="n">
        <v>2026</v>
      </c>
      <c r="E27" s="17" t="n">
        <v>132204</v>
      </c>
      <c r="F27" s="17" t="n">
        <v>59410</v>
      </c>
      <c r="G27" s="17" t="n">
        <v>51229</v>
      </c>
      <c r="H27" s="18" t="n">
        <v>6772.7</v>
      </c>
      <c r="I27" s="18" t="n">
        <v>128.1</v>
      </c>
    </row>
    <row r="28">
      <c r="B28" s="16" t="inlineStr">
        <is>
          <t>Vorarlberg</t>
        </is>
      </c>
      <c r="C28" s="16" t="inlineStr">
        <is>
          <t>Bregenz</t>
        </is>
      </c>
      <c r="D28" s="16" t="n">
        <v>2024</v>
      </c>
      <c r="E28" s="17" t="n">
        <v>113182</v>
      </c>
      <c r="F28" s="17" t="n">
        <v>50261</v>
      </c>
      <c r="G28" s="17" t="n">
        <v>46554</v>
      </c>
      <c r="H28" s="18" t="n">
        <v>5269.1</v>
      </c>
      <c r="I28" s="18" t="n">
        <v>116.4</v>
      </c>
    </row>
    <row r="29">
      <c r="B29" s="16" t="inlineStr">
        <is>
          <t>Vorarlberg</t>
        </is>
      </c>
      <c r="C29" s="16" t="inlineStr">
        <is>
          <t>Bregenz</t>
        </is>
      </c>
      <c r="D29" s="16" t="n">
        <v>2025</v>
      </c>
      <c r="E29" s="17" t="n">
        <v>174007</v>
      </c>
      <c r="F29" s="17" t="n">
        <v>82113</v>
      </c>
      <c r="G29" s="17" t="n">
        <v>50115</v>
      </c>
      <c r="H29" s="18" t="n">
        <v>8720.4</v>
      </c>
      <c r="I29" s="18" t="n">
        <v>125.3</v>
      </c>
    </row>
    <row r="30">
      <c r="B30" s="16" t="inlineStr">
        <is>
          <t>Vorarlberg</t>
        </is>
      </c>
      <c r="C30" s="16" t="inlineStr">
        <is>
          <t>Bregenz</t>
        </is>
      </c>
      <c r="D30" s="16" t="n">
        <v>2026</v>
      </c>
      <c r="E30" s="17" t="n">
        <v>79720</v>
      </c>
      <c r="F30" s="17" t="n">
        <v>36201</v>
      </c>
      <c r="G30" s="17" t="n">
        <v>38197</v>
      </c>
      <c r="H30" s="18" t="n">
        <v>3045.1</v>
      </c>
      <c r="I30" s="18" t="n">
        <v>95.5</v>
      </c>
    </row>
    <row r="31">
      <c r="B31" s="16" t="inlineStr">
        <is>
          <t>Vorarlberg</t>
        </is>
      </c>
      <c r="C31" s="16" t="inlineStr">
        <is>
          <t>Dornbirn</t>
        </is>
      </c>
      <c r="D31" s="16" t="n">
        <v>2024</v>
      </c>
      <c r="E31" s="17" t="n">
        <v>96185</v>
      </c>
      <c r="F31" s="17" t="n">
        <v>47874</v>
      </c>
      <c r="G31" s="17" t="n">
        <v>41436</v>
      </c>
      <c r="H31" s="18" t="n">
        <v>3985.5</v>
      </c>
      <c r="I31" s="18" t="n">
        <v>103.6</v>
      </c>
    </row>
    <row r="32">
      <c r="B32" s="16" t="inlineStr">
        <is>
          <t>Vorarlberg</t>
        </is>
      </c>
      <c r="C32" s="16" t="inlineStr">
        <is>
          <t>Dornbirn</t>
        </is>
      </c>
      <c r="D32" s="16" t="n">
        <v>2025</v>
      </c>
      <c r="E32" s="17" t="n">
        <v>207715</v>
      </c>
      <c r="F32" s="17" t="n">
        <v>81338</v>
      </c>
      <c r="G32" s="17" t="n">
        <v>32410</v>
      </c>
      <c r="H32" s="18" t="n">
        <v>6732</v>
      </c>
      <c r="I32" s="18" t="n">
        <v>81</v>
      </c>
    </row>
    <row r="33">
      <c r="B33" s="16" t="inlineStr">
        <is>
          <t>Vorarlberg</t>
        </is>
      </c>
      <c r="C33" s="16" t="inlineStr">
        <is>
          <t>Dornbirn</t>
        </is>
      </c>
      <c r="D33" s="16" t="n">
        <v>2026</v>
      </c>
      <c r="E33" s="17" t="n">
        <v>73589</v>
      </c>
      <c r="F33" s="17" t="n">
        <v>30355</v>
      </c>
      <c r="G33" s="17" t="n">
        <v>28358</v>
      </c>
      <c r="H33" s="18" t="n">
        <v>2086.8</v>
      </c>
      <c r="I33" s="18" t="n">
        <v>70.90000000000001</v>
      </c>
    </row>
    <row r="34">
      <c r="B34" s="16" t="inlineStr">
        <is>
          <t>Vorarlberg</t>
        </is>
      </c>
      <c r="C34" s="16" t="inlineStr">
        <is>
          <t>Feldkirch</t>
        </is>
      </c>
      <c r="D34" s="16" t="n">
        <v>2024</v>
      </c>
      <c r="E34" s="17" t="n">
        <v>24700</v>
      </c>
      <c r="F34" s="17" t="n">
        <v>10838</v>
      </c>
      <c r="G34" s="17" t="n">
        <v>43952</v>
      </c>
      <c r="H34" s="18" t="n">
        <v>1085.6</v>
      </c>
      <c r="I34" s="18" t="n">
        <v>109.9</v>
      </c>
    </row>
    <row r="35">
      <c r="B35" s="16" t="inlineStr">
        <is>
          <t>Vorarlberg</t>
        </is>
      </c>
      <c r="C35" s="16" t="inlineStr">
        <is>
          <t>Feldkirch</t>
        </is>
      </c>
      <c r="D35" s="16" t="n">
        <v>2025</v>
      </c>
      <c r="E35" s="17" t="n">
        <v>55577</v>
      </c>
      <c r="F35" s="17" t="n">
        <v>23068</v>
      </c>
      <c r="G35" s="17" t="n">
        <v>34173</v>
      </c>
      <c r="H35" s="18" t="n">
        <v>1899.2</v>
      </c>
      <c r="I35" s="18" t="n">
        <v>85.40000000000001</v>
      </c>
    </row>
    <row r="36">
      <c r="B36" s="16" t="inlineStr">
        <is>
          <t>Vorarlberg</t>
        </is>
      </c>
      <c r="C36" s="16" t="inlineStr">
        <is>
          <t>Feldkirch</t>
        </is>
      </c>
      <c r="D36" s="16" t="n">
        <v>2026</v>
      </c>
      <c r="E36" s="17" t="n">
        <v>126289</v>
      </c>
      <c r="F36" s="17" t="n">
        <v>54781</v>
      </c>
      <c r="G36" s="17" t="n">
        <v>51982</v>
      </c>
      <c r="H36" s="18" t="n">
        <v>6564.8</v>
      </c>
      <c r="I36" s="18" t="n">
        <v>130</v>
      </c>
    </row>
    <row r="37">
      <c r="B37" s="16" t="inlineStr">
        <is>
          <t>Vorarlberg</t>
        </is>
      </c>
      <c r="C37" s="16" t="inlineStr">
        <is>
          <t>Bludenz</t>
        </is>
      </c>
      <c r="D37" s="16" t="n">
        <v>2024</v>
      </c>
      <c r="E37" s="17" t="n">
        <v>43332</v>
      </c>
      <c r="F37" s="17" t="n">
        <v>19245</v>
      </c>
      <c r="G37" s="17" t="n">
        <v>40574</v>
      </c>
      <c r="H37" s="18" t="n">
        <v>1758.2</v>
      </c>
      <c r="I37" s="18" t="n">
        <v>101.4</v>
      </c>
    </row>
    <row r="38">
      <c r="B38" s="16" t="inlineStr">
        <is>
          <t>Vorarlberg</t>
        </is>
      </c>
      <c r="C38" s="16" t="inlineStr">
        <is>
          <t>Bludenz</t>
        </is>
      </c>
      <c r="D38" s="16" t="n">
        <v>2025</v>
      </c>
      <c r="E38" s="17" t="n">
        <v>39541</v>
      </c>
      <c r="F38" s="17" t="n">
        <v>17676</v>
      </c>
      <c r="G38" s="17" t="n">
        <v>34975</v>
      </c>
      <c r="H38" s="18" t="n">
        <v>1382.9</v>
      </c>
      <c r="I38" s="18" t="n">
        <v>87.40000000000001</v>
      </c>
    </row>
    <row r="39">
      <c r="B39" s="16" t="inlineStr">
        <is>
          <t>Vorarlberg</t>
        </is>
      </c>
      <c r="C39" s="16" t="inlineStr">
        <is>
          <t>Bludenz</t>
        </is>
      </c>
      <c r="D39" s="16" t="n">
        <v>2026</v>
      </c>
      <c r="E39" s="17" t="n">
        <v>9123</v>
      </c>
      <c r="F39" s="17" t="n">
        <v>4219</v>
      </c>
      <c r="G39" s="17" t="n">
        <v>47422</v>
      </c>
      <c r="H39" s="18" t="n">
        <v>432.6</v>
      </c>
      <c r="I39" s="18" t="n">
        <v>118.6</v>
      </c>
    </row>
    <row r="40">
      <c r="B40" s="16" t="inlineStr">
        <is>
          <t>Salzburg</t>
        </is>
      </c>
      <c r="C40" s="16" t="inlineStr">
        <is>
          <t>Salzburg</t>
        </is>
      </c>
      <c r="D40" s="16" t="n">
        <v>2024</v>
      </c>
      <c r="E40" s="17" t="n">
        <v>88729</v>
      </c>
      <c r="F40" s="17" t="n">
        <v>34143</v>
      </c>
      <c r="G40" s="17" t="n">
        <v>28643</v>
      </c>
      <c r="H40" s="18" t="n">
        <v>2541.5</v>
      </c>
      <c r="I40" s="18" t="n">
        <v>71.59999999999999</v>
      </c>
    </row>
    <row r="41">
      <c r="B41" s="16" t="inlineStr">
        <is>
          <t>Salzburg</t>
        </is>
      </c>
      <c r="C41" s="16" t="inlineStr">
        <is>
          <t>Salzburg</t>
        </is>
      </c>
      <c r="D41" s="16" t="n">
        <v>2025</v>
      </c>
      <c r="E41" s="17" t="n">
        <v>64236</v>
      </c>
      <c r="F41" s="17" t="n">
        <v>30409</v>
      </c>
      <c r="G41" s="17" t="n">
        <v>47726</v>
      </c>
      <c r="H41" s="18" t="n">
        <v>3065.7</v>
      </c>
      <c r="I41" s="18" t="n">
        <v>119.3</v>
      </c>
    </row>
    <row r="42">
      <c r="B42" s="16" t="inlineStr">
        <is>
          <t>Salzburg</t>
        </is>
      </c>
      <c r="C42" s="16" t="inlineStr">
        <is>
          <t>Salzburg</t>
        </is>
      </c>
      <c r="D42" s="16" t="n">
        <v>2026</v>
      </c>
      <c r="E42" s="17" t="n">
        <v>177253</v>
      </c>
      <c r="F42" s="17" t="n">
        <v>75549</v>
      </c>
      <c r="G42" s="17" t="n">
        <v>29379</v>
      </c>
      <c r="H42" s="18" t="n">
        <v>5207.5</v>
      </c>
      <c r="I42" s="18" t="n">
        <v>73.40000000000001</v>
      </c>
    </row>
    <row r="43">
      <c r="B43" s="16" t="inlineStr">
        <is>
          <t>Salzburg</t>
        </is>
      </c>
      <c r="C43" s="16" t="inlineStr">
        <is>
          <t>Hallein</t>
        </is>
      </c>
      <c r="D43" s="16" t="n">
        <v>2024</v>
      </c>
      <c r="E43" s="17" t="n">
        <v>47367</v>
      </c>
      <c r="F43" s="17" t="n">
        <v>22259</v>
      </c>
      <c r="G43" s="17" t="n">
        <v>36463</v>
      </c>
      <c r="H43" s="18" t="n">
        <v>1727.1</v>
      </c>
      <c r="I43" s="18" t="n">
        <v>91.2</v>
      </c>
    </row>
    <row r="44">
      <c r="B44" s="16" t="inlineStr">
        <is>
          <t>Salzburg</t>
        </is>
      </c>
      <c r="C44" s="16" t="inlineStr">
        <is>
          <t>Hallein</t>
        </is>
      </c>
      <c r="D44" s="16" t="n">
        <v>2025</v>
      </c>
      <c r="E44" s="17" t="n">
        <v>11510</v>
      </c>
      <c r="F44" s="17" t="n">
        <v>4671</v>
      </c>
      <c r="G44" s="17" t="n">
        <v>38779</v>
      </c>
      <c r="H44" s="18" t="n">
        <v>446.3</v>
      </c>
      <c r="I44" s="18" t="n">
        <v>96.90000000000001</v>
      </c>
    </row>
    <row r="45">
      <c r="B45" s="16" t="inlineStr">
        <is>
          <t>Salzburg</t>
        </is>
      </c>
      <c r="C45" s="16" t="inlineStr">
        <is>
          <t>Hallein</t>
        </is>
      </c>
      <c r="D45" s="16" t="n">
        <v>2026</v>
      </c>
      <c r="E45" s="17" t="n">
        <v>86679</v>
      </c>
      <c r="F45" s="17" t="n">
        <v>38839</v>
      </c>
      <c r="G45" s="17" t="n">
        <v>30434</v>
      </c>
      <c r="H45" s="18" t="n">
        <v>2638</v>
      </c>
      <c r="I45" s="18" t="n">
        <v>76.09999999999999</v>
      </c>
    </row>
    <row r="46">
      <c r="B46" s="16" t="inlineStr">
        <is>
          <t>Salzburg</t>
        </is>
      </c>
      <c r="C46" s="16" t="inlineStr">
        <is>
          <t>St. Johann</t>
        </is>
      </c>
      <c r="D46" s="16" t="n">
        <v>2024</v>
      </c>
      <c r="E46" s="17" t="n">
        <v>32623</v>
      </c>
      <c r="F46" s="17" t="n">
        <v>15350</v>
      </c>
      <c r="G46" s="17" t="n">
        <v>48859</v>
      </c>
      <c r="H46" s="18" t="n">
        <v>1593.9</v>
      </c>
      <c r="I46" s="18" t="n">
        <v>122.1</v>
      </c>
    </row>
    <row r="47">
      <c r="B47" s="16" t="inlineStr">
        <is>
          <t>Salzburg</t>
        </is>
      </c>
      <c r="C47" s="16" t="inlineStr">
        <is>
          <t>St. Johann</t>
        </is>
      </c>
      <c r="D47" s="16" t="n">
        <v>2025</v>
      </c>
      <c r="E47" s="17" t="n">
        <v>72704</v>
      </c>
      <c r="F47" s="17" t="n">
        <v>36183</v>
      </c>
      <c r="G47" s="17" t="n">
        <v>40080</v>
      </c>
      <c r="H47" s="18" t="n">
        <v>2914</v>
      </c>
      <c r="I47" s="18" t="n">
        <v>100.2</v>
      </c>
    </row>
    <row r="48">
      <c r="B48" s="16" t="inlineStr">
        <is>
          <t>Salzburg</t>
        </is>
      </c>
      <c r="C48" s="16" t="inlineStr">
        <is>
          <t>St. Johann</t>
        </is>
      </c>
      <c r="D48" s="16" t="n">
        <v>2026</v>
      </c>
      <c r="E48" s="17" t="n">
        <v>106439</v>
      </c>
      <c r="F48" s="17" t="n">
        <v>44848</v>
      </c>
      <c r="G48" s="17" t="n">
        <v>32168</v>
      </c>
      <c r="H48" s="18" t="n">
        <v>3423.9</v>
      </c>
      <c r="I48" s="18" t="n">
        <v>80.40000000000001</v>
      </c>
    </row>
    <row r="49">
      <c r="B49" s="16" t="inlineStr">
        <is>
          <t>Salzburg</t>
        </is>
      </c>
      <c r="C49" s="16" t="inlineStr">
        <is>
          <t>Zell am See</t>
        </is>
      </c>
      <c r="D49" s="16" t="n">
        <v>2024</v>
      </c>
      <c r="E49" s="17" t="n">
        <v>162949</v>
      </c>
      <c r="F49" s="17" t="n">
        <v>71149</v>
      </c>
      <c r="G49" s="17" t="n">
        <v>46827</v>
      </c>
      <c r="H49" s="18" t="n">
        <v>7630.4</v>
      </c>
      <c r="I49" s="18" t="n">
        <v>117.1</v>
      </c>
    </row>
    <row r="50">
      <c r="B50" s="16" t="inlineStr">
        <is>
          <t>Salzburg</t>
        </is>
      </c>
      <c r="C50" s="16" t="inlineStr">
        <is>
          <t>Zell am See</t>
        </is>
      </c>
      <c r="D50" s="16" t="n">
        <v>2025</v>
      </c>
      <c r="E50" s="17" t="n">
        <v>44582</v>
      </c>
      <c r="F50" s="17" t="n">
        <v>17691</v>
      </c>
      <c r="G50" s="17" t="n">
        <v>33990</v>
      </c>
      <c r="H50" s="18" t="n">
        <v>1515.3</v>
      </c>
      <c r="I50" s="18" t="n">
        <v>85</v>
      </c>
    </row>
    <row r="51">
      <c r="B51" s="16" t="inlineStr">
        <is>
          <t>Salzburg</t>
        </is>
      </c>
      <c r="C51" s="16" t="inlineStr">
        <is>
          <t>Zell am See</t>
        </is>
      </c>
      <c r="D51" s="16" t="n">
        <v>2026</v>
      </c>
      <c r="E51" s="17" t="n">
        <v>173428</v>
      </c>
      <c r="F51" s="17" t="n">
        <v>82881</v>
      </c>
      <c r="G51" s="17" t="n">
        <v>35483</v>
      </c>
      <c r="H51" s="18" t="n">
        <v>6153.7</v>
      </c>
      <c r="I51" s="18" t="n">
        <v>88.7</v>
      </c>
    </row>
    <row r="52">
      <c r="B52" s="16" t="inlineStr">
        <is>
          <t>Salzburg</t>
        </is>
      </c>
      <c r="C52" s="16" t="inlineStr">
        <is>
          <t>Tamsweg</t>
        </is>
      </c>
      <c r="D52" s="16" t="n">
        <v>2024</v>
      </c>
      <c r="E52" s="17" t="n">
        <v>169024</v>
      </c>
      <c r="F52" s="17" t="n">
        <v>78626</v>
      </c>
      <c r="G52" s="17" t="n">
        <v>34219</v>
      </c>
      <c r="H52" s="18" t="n">
        <v>5783.8</v>
      </c>
      <c r="I52" s="18" t="n">
        <v>85.5</v>
      </c>
    </row>
    <row r="53">
      <c r="B53" s="16" t="inlineStr">
        <is>
          <t>Salzburg</t>
        </is>
      </c>
      <c r="C53" s="16" t="inlineStr">
        <is>
          <t>Tamsweg</t>
        </is>
      </c>
      <c r="D53" s="16" t="n">
        <v>2025</v>
      </c>
      <c r="E53" s="17" t="n">
        <v>50543</v>
      </c>
      <c r="F53" s="17" t="n">
        <v>20683</v>
      </c>
      <c r="G53" s="17" t="n">
        <v>46151</v>
      </c>
      <c r="H53" s="18" t="n">
        <v>2332.6</v>
      </c>
      <c r="I53" s="18" t="n">
        <v>115.4</v>
      </c>
    </row>
    <row r="54">
      <c r="B54" s="16" t="inlineStr">
        <is>
          <t>Salzburg</t>
        </is>
      </c>
      <c r="C54" s="16" t="inlineStr">
        <is>
          <t>Tamsweg</t>
        </is>
      </c>
      <c r="D54" s="16" t="n">
        <v>2026</v>
      </c>
      <c r="E54" s="17" t="n">
        <v>60534</v>
      </c>
      <c r="F54" s="17" t="n">
        <v>25095</v>
      </c>
      <c r="G54" s="17" t="n">
        <v>40720</v>
      </c>
      <c r="H54" s="18" t="n">
        <v>2464.9</v>
      </c>
      <c r="I54" s="18" t="n">
        <v>101.8</v>
      </c>
    </row>
    <row r="55">
      <c r="B55" s="16" t="inlineStr">
        <is>
          <t>Kärnten</t>
        </is>
      </c>
      <c r="C55" s="16" t="inlineStr">
        <is>
          <t>Klagenfurt</t>
        </is>
      </c>
      <c r="D55" s="16" t="n">
        <v>2024</v>
      </c>
      <c r="E55" s="17" t="n">
        <v>135488</v>
      </c>
      <c r="F55" s="17" t="n">
        <v>57358</v>
      </c>
      <c r="G55" s="17" t="n">
        <v>41810</v>
      </c>
      <c r="H55" s="18" t="n">
        <v>5664.8</v>
      </c>
      <c r="I55" s="18" t="n">
        <v>104.5</v>
      </c>
    </row>
    <row r="56">
      <c r="B56" s="16" t="inlineStr">
        <is>
          <t>Kärnten</t>
        </is>
      </c>
      <c r="C56" s="16" t="inlineStr">
        <is>
          <t>Klagenfurt</t>
        </is>
      </c>
      <c r="D56" s="16" t="n">
        <v>2025</v>
      </c>
      <c r="E56" s="17" t="n">
        <v>21426</v>
      </c>
      <c r="F56" s="17" t="n">
        <v>10389</v>
      </c>
      <c r="G56" s="17" t="n">
        <v>29268</v>
      </c>
      <c r="H56" s="18" t="n">
        <v>627.1</v>
      </c>
      <c r="I56" s="18" t="n">
        <v>73.2</v>
      </c>
    </row>
    <row r="57">
      <c r="B57" s="16" t="inlineStr">
        <is>
          <t>Kärnten</t>
        </is>
      </c>
      <c r="C57" s="16" t="inlineStr">
        <is>
          <t>Klagenfurt</t>
        </is>
      </c>
      <c r="D57" s="16" t="n">
        <v>2026</v>
      </c>
      <c r="E57" s="17" t="n">
        <v>143311</v>
      </c>
      <c r="F57" s="17" t="n">
        <v>55598</v>
      </c>
      <c r="G57" s="17" t="n">
        <v>35812</v>
      </c>
      <c r="H57" s="18" t="n">
        <v>5132.3</v>
      </c>
      <c r="I57" s="18" t="n">
        <v>89.5</v>
      </c>
    </row>
    <row r="58">
      <c r="B58" s="16" t="inlineStr">
        <is>
          <t>Kärnten</t>
        </is>
      </c>
      <c r="C58" s="16" t="inlineStr">
        <is>
          <t>Villach</t>
        </is>
      </c>
      <c r="D58" s="16" t="n">
        <v>2024</v>
      </c>
      <c r="E58" s="17" t="n">
        <v>202941</v>
      </c>
      <c r="F58" s="17" t="n">
        <v>83764</v>
      </c>
      <c r="G58" s="17" t="n">
        <v>36420</v>
      </c>
      <c r="H58" s="18" t="n">
        <v>7391.1</v>
      </c>
      <c r="I58" s="18" t="n">
        <v>91</v>
      </c>
    </row>
    <row r="59">
      <c r="B59" s="16" t="inlineStr">
        <is>
          <t>Kärnten</t>
        </is>
      </c>
      <c r="C59" s="16" t="inlineStr">
        <is>
          <t>Villach</t>
        </is>
      </c>
      <c r="D59" s="16" t="n">
        <v>2025</v>
      </c>
      <c r="E59" s="17" t="n">
        <v>119314</v>
      </c>
      <c r="F59" s="17" t="n">
        <v>47835</v>
      </c>
      <c r="G59" s="17" t="n">
        <v>47545</v>
      </c>
      <c r="H59" s="18" t="n">
        <v>5672.8</v>
      </c>
      <c r="I59" s="18" t="n">
        <v>118.9</v>
      </c>
    </row>
    <row r="60">
      <c r="B60" s="16" t="inlineStr">
        <is>
          <t>Kärnten</t>
        </is>
      </c>
      <c r="C60" s="16" t="inlineStr">
        <is>
          <t>Villach</t>
        </is>
      </c>
      <c r="D60" s="16" t="n">
        <v>2026</v>
      </c>
      <c r="E60" s="17" t="n">
        <v>137712</v>
      </c>
      <c r="F60" s="17" t="n">
        <v>63284</v>
      </c>
      <c r="G60" s="17" t="n">
        <v>33748</v>
      </c>
      <c r="H60" s="18" t="n">
        <v>4647.5</v>
      </c>
      <c r="I60" s="18" t="n">
        <v>84.40000000000001</v>
      </c>
    </row>
    <row r="61">
      <c r="B61" s="16" t="inlineStr">
        <is>
          <t>Kärnten</t>
        </is>
      </c>
      <c r="C61" s="16" t="inlineStr">
        <is>
          <t>Spittal</t>
        </is>
      </c>
      <c r="D61" s="16" t="n">
        <v>2024</v>
      </c>
      <c r="E61" s="17" t="n">
        <v>197836</v>
      </c>
      <c r="F61" s="17" t="n">
        <v>76493</v>
      </c>
      <c r="G61" s="17" t="n">
        <v>32141</v>
      </c>
      <c r="H61" s="18" t="n">
        <v>6358.6</v>
      </c>
      <c r="I61" s="18" t="n">
        <v>80.40000000000001</v>
      </c>
    </row>
    <row r="62">
      <c r="B62" s="16" t="inlineStr">
        <is>
          <t>Kärnten</t>
        </is>
      </c>
      <c r="C62" s="16" t="inlineStr">
        <is>
          <t>Spittal</t>
        </is>
      </c>
      <c r="D62" s="16" t="n">
        <v>2025</v>
      </c>
      <c r="E62" s="17" t="n">
        <v>68872</v>
      </c>
      <c r="F62" s="17" t="n">
        <v>30106</v>
      </c>
      <c r="G62" s="17" t="n">
        <v>49414</v>
      </c>
      <c r="H62" s="18" t="n">
        <v>3403.2</v>
      </c>
      <c r="I62" s="18" t="n">
        <v>123.5</v>
      </c>
    </row>
    <row r="63">
      <c r="B63" s="16" t="inlineStr">
        <is>
          <t>Kärnten</t>
        </is>
      </c>
      <c r="C63" s="16" t="inlineStr">
        <is>
          <t>Spittal</t>
        </is>
      </c>
      <c r="D63" s="16" t="n">
        <v>2026</v>
      </c>
      <c r="E63" s="17" t="n">
        <v>170446</v>
      </c>
      <c r="F63" s="17" t="n">
        <v>71961</v>
      </c>
      <c r="G63" s="17" t="n">
        <v>37182</v>
      </c>
      <c r="H63" s="18" t="n">
        <v>6337.5</v>
      </c>
      <c r="I63" s="18" t="n">
        <v>93</v>
      </c>
    </row>
    <row r="64">
      <c r="B64" s="16" t="inlineStr">
        <is>
          <t>Kärnten</t>
        </is>
      </c>
      <c r="C64" s="16" t="inlineStr">
        <is>
          <t>Wolfsberg</t>
        </is>
      </c>
      <c r="D64" s="16" t="n">
        <v>2024</v>
      </c>
      <c r="E64" s="17" t="n">
        <v>64679</v>
      </c>
      <c r="F64" s="17" t="n">
        <v>25360</v>
      </c>
      <c r="G64" s="17" t="n">
        <v>34683</v>
      </c>
      <c r="H64" s="18" t="n">
        <v>2243.3</v>
      </c>
      <c r="I64" s="18" t="n">
        <v>86.7</v>
      </c>
    </row>
    <row r="65">
      <c r="B65" s="16" t="inlineStr">
        <is>
          <t>Kärnten</t>
        </is>
      </c>
      <c r="C65" s="16" t="inlineStr">
        <is>
          <t>Wolfsberg</t>
        </is>
      </c>
      <c r="D65" s="16" t="n">
        <v>2025</v>
      </c>
      <c r="E65" s="17" t="n">
        <v>205341</v>
      </c>
      <c r="F65" s="17" t="n">
        <v>102162</v>
      </c>
      <c r="G65" s="17" t="n">
        <v>36820</v>
      </c>
      <c r="H65" s="18" t="n">
        <v>7560.7</v>
      </c>
      <c r="I65" s="18" t="n">
        <v>92</v>
      </c>
    </row>
    <row r="66">
      <c r="B66" s="16" t="inlineStr">
        <is>
          <t>Kärnten</t>
        </is>
      </c>
      <c r="C66" s="16" t="inlineStr">
        <is>
          <t>Wolfsberg</t>
        </is>
      </c>
      <c r="D66" s="16" t="n">
        <v>2026</v>
      </c>
      <c r="E66" s="17" t="n">
        <v>116853</v>
      </c>
      <c r="F66" s="17" t="n">
        <v>51535</v>
      </c>
      <c r="G66" s="17" t="n">
        <v>29981</v>
      </c>
      <c r="H66" s="18" t="n">
        <v>3503.4</v>
      </c>
      <c r="I66" s="18" t="n">
        <v>75</v>
      </c>
    </row>
    <row r="67">
      <c r="B67" s="16" t="inlineStr">
        <is>
          <t>Kärnten</t>
        </is>
      </c>
      <c r="C67" s="16" t="inlineStr">
        <is>
          <t>Völkermarkt</t>
        </is>
      </c>
      <c r="D67" s="16" t="n">
        <v>2024</v>
      </c>
      <c r="E67" s="17" t="n">
        <v>21215</v>
      </c>
      <c r="F67" s="17" t="n">
        <v>10074</v>
      </c>
      <c r="G67" s="17" t="n">
        <v>40084</v>
      </c>
      <c r="H67" s="18" t="n">
        <v>850.4</v>
      </c>
      <c r="I67" s="18" t="n">
        <v>100.2</v>
      </c>
    </row>
    <row r="68">
      <c r="B68" s="16" t="inlineStr">
        <is>
          <t>Kärnten</t>
        </is>
      </c>
      <c r="C68" s="16" t="inlineStr">
        <is>
          <t>Völkermarkt</t>
        </is>
      </c>
      <c r="D68" s="16" t="n">
        <v>2025</v>
      </c>
      <c r="E68" s="17" t="n">
        <v>148199</v>
      </c>
      <c r="F68" s="17" t="n">
        <v>63243</v>
      </c>
      <c r="G68" s="17" t="n">
        <v>32311</v>
      </c>
      <c r="H68" s="18" t="n">
        <v>4788.5</v>
      </c>
      <c r="I68" s="18" t="n">
        <v>80.8</v>
      </c>
    </row>
    <row r="69">
      <c r="B69" s="16" t="inlineStr">
        <is>
          <t>Kärnten</t>
        </is>
      </c>
      <c r="C69" s="16" t="inlineStr">
        <is>
          <t>Völkermarkt</t>
        </is>
      </c>
      <c r="D69" s="16" t="n">
        <v>2026</v>
      </c>
      <c r="E69" s="17" t="n">
        <v>33167</v>
      </c>
      <c r="F69" s="17" t="n">
        <v>14958</v>
      </c>
      <c r="G69" s="17" t="n">
        <v>42756</v>
      </c>
      <c r="H69" s="18" t="n">
        <v>1418.1</v>
      </c>
      <c r="I69" s="18" t="n">
        <v>106.9</v>
      </c>
    </row>
    <row r="70">
      <c r="B70" s="16" t="inlineStr">
        <is>
          <t>Kärnten</t>
        </is>
      </c>
      <c r="C70" s="16" t="inlineStr">
        <is>
          <t>Feldkirchen</t>
        </is>
      </c>
      <c r="D70" s="16" t="n">
        <v>2024</v>
      </c>
      <c r="E70" s="17" t="n">
        <v>95760</v>
      </c>
      <c r="F70" s="17" t="n">
        <v>39997</v>
      </c>
      <c r="G70" s="17" t="n">
        <v>50649</v>
      </c>
      <c r="H70" s="18" t="n">
        <v>4850.1</v>
      </c>
      <c r="I70" s="18" t="n">
        <v>126.6</v>
      </c>
    </row>
    <row r="71">
      <c r="B71" s="16" t="inlineStr">
        <is>
          <t>Kärnten</t>
        </is>
      </c>
      <c r="C71" s="16" t="inlineStr">
        <is>
          <t>Feldkirchen</t>
        </is>
      </c>
      <c r="D71" s="16" t="n">
        <v>2025</v>
      </c>
      <c r="E71" s="17" t="n">
        <v>145823</v>
      </c>
      <c r="F71" s="17" t="n">
        <v>62034</v>
      </c>
      <c r="G71" s="17" t="n">
        <v>32598</v>
      </c>
      <c r="H71" s="18" t="n">
        <v>4753.5</v>
      </c>
      <c r="I71" s="18" t="n">
        <v>81.5</v>
      </c>
    </row>
    <row r="72">
      <c r="B72" s="16" t="inlineStr">
        <is>
          <t>Kärnten</t>
        </is>
      </c>
      <c r="C72" s="16" t="inlineStr">
        <is>
          <t>Feldkirchen</t>
        </is>
      </c>
      <c r="D72" s="16" t="n">
        <v>2026</v>
      </c>
      <c r="E72" s="17" t="n">
        <v>163632</v>
      </c>
      <c r="F72" s="17" t="n">
        <v>80963</v>
      </c>
      <c r="G72" s="17" t="n">
        <v>28586</v>
      </c>
      <c r="H72" s="18" t="n">
        <v>4677.6</v>
      </c>
      <c r="I72" s="18" t="n">
        <v>71.5</v>
      </c>
    </row>
    <row r="73">
      <c r="B73" s="16" t="inlineStr">
        <is>
          <t>Steiermark</t>
        </is>
      </c>
      <c r="C73" s="16" t="inlineStr">
        <is>
          <t>Graz</t>
        </is>
      </c>
      <c r="D73" s="16" t="n">
        <v>2024</v>
      </c>
      <c r="E73" s="17" t="n">
        <v>133464</v>
      </c>
      <c r="F73" s="17" t="n">
        <v>52418</v>
      </c>
      <c r="G73" s="17" t="n">
        <v>50969</v>
      </c>
      <c r="H73" s="18" t="n">
        <v>6802.5</v>
      </c>
      <c r="I73" s="18" t="n">
        <v>127.4</v>
      </c>
    </row>
    <row r="74">
      <c r="B74" s="16" t="inlineStr">
        <is>
          <t>Steiermark</t>
        </is>
      </c>
      <c r="C74" s="16" t="inlineStr">
        <is>
          <t>Graz</t>
        </is>
      </c>
      <c r="D74" s="16" t="n">
        <v>2025</v>
      </c>
      <c r="E74" s="17" t="n">
        <v>90737</v>
      </c>
      <c r="F74" s="17" t="n">
        <v>35201</v>
      </c>
      <c r="G74" s="17" t="n">
        <v>28696</v>
      </c>
      <c r="H74" s="18" t="n">
        <v>2603.8</v>
      </c>
      <c r="I74" s="18" t="n">
        <v>71.7</v>
      </c>
    </row>
    <row r="75">
      <c r="B75" s="16" t="inlineStr">
        <is>
          <t>Steiermark</t>
        </is>
      </c>
      <c r="C75" s="16" t="inlineStr">
        <is>
          <t>Graz</t>
        </is>
      </c>
      <c r="D75" s="16" t="n">
        <v>2026</v>
      </c>
      <c r="E75" s="17" t="n">
        <v>165859</v>
      </c>
      <c r="F75" s="17" t="n">
        <v>69638</v>
      </c>
      <c r="G75" s="17" t="n">
        <v>43801</v>
      </c>
      <c r="H75" s="18" t="n">
        <v>7264.8</v>
      </c>
      <c r="I75" s="18" t="n">
        <v>109.5</v>
      </c>
    </row>
    <row r="76">
      <c r="B76" s="16" t="inlineStr">
        <is>
          <t>Steiermark</t>
        </is>
      </c>
      <c r="C76" s="16" t="inlineStr">
        <is>
          <t>Leoben</t>
        </is>
      </c>
      <c r="D76" s="16" t="n">
        <v>2024</v>
      </c>
      <c r="E76" s="17" t="n">
        <v>26634</v>
      </c>
      <c r="F76" s="17" t="n">
        <v>10923</v>
      </c>
      <c r="G76" s="17" t="n">
        <v>38449</v>
      </c>
      <c r="H76" s="18" t="n">
        <v>1024.1</v>
      </c>
      <c r="I76" s="18" t="n">
        <v>96.09999999999999</v>
      </c>
    </row>
    <row r="77">
      <c r="B77" s="16" t="inlineStr">
        <is>
          <t>Steiermark</t>
        </is>
      </c>
      <c r="C77" s="16" t="inlineStr">
        <is>
          <t>Leoben</t>
        </is>
      </c>
      <c r="D77" s="16" t="n">
        <v>2025</v>
      </c>
      <c r="E77" s="17" t="n">
        <v>44810</v>
      </c>
      <c r="F77" s="17" t="n">
        <v>17237</v>
      </c>
      <c r="G77" s="17" t="n">
        <v>30466</v>
      </c>
      <c r="H77" s="18" t="n">
        <v>1365.2</v>
      </c>
      <c r="I77" s="18" t="n">
        <v>76.2</v>
      </c>
    </row>
    <row r="78">
      <c r="B78" s="16" t="inlineStr">
        <is>
          <t>Steiermark</t>
        </is>
      </c>
      <c r="C78" s="16" t="inlineStr">
        <is>
          <t>Leoben</t>
        </is>
      </c>
      <c r="D78" s="16" t="n">
        <v>2026</v>
      </c>
      <c r="E78" s="17" t="n">
        <v>127775</v>
      </c>
      <c r="F78" s="17" t="n">
        <v>54894</v>
      </c>
      <c r="G78" s="17" t="n">
        <v>29457</v>
      </c>
      <c r="H78" s="18" t="n">
        <v>3763.9</v>
      </c>
      <c r="I78" s="18" t="n">
        <v>73.59999999999999</v>
      </c>
    </row>
    <row r="79">
      <c r="B79" s="16" t="inlineStr">
        <is>
          <t>Steiermark</t>
        </is>
      </c>
      <c r="C79" s="16" t="inlineStr">
        <is>
          <t>Bruck</t>
        </is>
      </c>
      <c r="D79" s="16" t="n">
        <v>2024</v>
      </c>
      <c r="E79" s="17" t="n">
        <v>202223</v>
      </c>
      <c r="F79" s="17" t="n">
        <v>82800</v>
      </c>
      <c r="G79" s="17" t="n">
        <v>32244</v>
      </c>
      <c r="H79" s="18" t="n">
        <v>6520.5</v>
      </c>
      <c r="I79" s="18" t="n">
        <v>80.59999999999999</v>
      </c>
    </row>
    <row r="80">
      <c r="B80" s="16" t="inlineStr">
        <is>
          <t>Steiermark</t>
        </is>
      </c>
      <c r="C80" s="16" t="inlineStr">
        <is>
          <t>Bruck</t>
        </is>
      </c>
      <c r="D80" s="16" t="n">
        <v>2025</v>
      </c>
      <c r="E80" s="17" t="n">
        <v>98552</v>
      </c>
      <c r="F80" s="17" t="n">
        <v>44571</v>
      </c>
      <c r="G80" s="17" t="n">
        <v>50450</v>
      </c>
      <c r="H80" s="18" t="n">
        <v>4971.9</v>
      </c>
      <c r="I80" s="18" t="n">
        <v>126.1</v>
      </c>
    </row>
    <row r="81">
      <c r="B81" s="16" t="inlineStr">
        <is>
          <t>Steiermark</t>
        </is>
      </c>
      <c r="C81" s="16" t="inlineStr">
        <is>
          <t>Bruck</t>
        </is>
      </c>
      <c r="D81" s="16" t="n">
        <v>2026</v>
      </c>
      <c r="E81" s="17" t="n">
        <v>133067</v>
      </c>
      <c r="F81" s="17" t="n">
        <v>52378</v>
      </c>
      <c r="G81" s="17" t="n">
        <v>41669</v>
      </c>
      <c r="H81" s="18" t="n">
        <v>5544.8</v>
      </c>
      <c r="I81" s="18" t="n">
        <v>104.2</v>
      </c>
    </row>
    <row r="82">
      <c r="B82" s="16" t="inlineStr">
        <is>
          <t>Steiermark</t>
        </is>
      </c>
      <c r="C82" s="16" t="inlineStr">
        <is>
          <t>Liezen</t>
        </is>
      </c>
      <c r="D82" s="16" t="n">
        <v>2024</v>
      </c>
      <c r="E82" s="17" t="n">
        <v>16935</v>
      </c>
      <c r="F82" s="17" t="n">
        <v>6725</v>
      </c>
      <c r="G82" s="17" t="n">
        <v>46769</v>
      </c>
      <c r="H82" s="18" t="n">
        <v>792</v>
      </c>
      <c r="I82" s="18" t="n">
        <v>116.9</v>
      </c>
    </row>
    <row r="83">
      <c r="B83" s="16" t="inlineStr">
        <is>
          <t>Steiermark</t>
        </is>
      </c>
      <c r="C83" s="16" t="inlineStr">
        <is>
          <t>Liezen</t>
        </is>
      </c>
      <c r="D83" s="16" t="n">
        <v>2025</v>
      </c>
      <c r="E83" s="17" t="n">
        <v>12809</v>
      </c>
      <c r="F83" s="17" t="n">
        <v>5393</v>
      </c>
      <c r="G83" s="17" t="n">
        <v>40528</v>
      </c>
      <c r="H83" s="18" t="n">
        <v>519.1</v>
      </c>
      <c r="I83" s="18" t="n">
        <v>101.3</v>
      </c>
    </row>
    <row r="84">
      <c r="B84" s="16" t="inlineStr">
        <is>
          <t>Steiermark</t>
        </is>
      </c>
      <c r="C84" s="16" t="inlineStr">
        <is>
          <t>Liezen</t>
        </is>
      </c>
      <c r="D84" s="16" t="n">
        <v>2026</v>
      </c>
      <c r="E84" s="17" t="n">
        <v>108398</v>
      </c>
      <c r="F84" s="17" t="n">
        <v>46134</v>
      </c>
      <c r="G84" s="17" t="n">
        <v>47951</v>
      </c>
      <c r="H84" s="18" t="n">
        <v>5197.8</v>
      </c>
      <c r="I84" s="18" t="n">
        <v>119.9</v>
      </c>
    </row>
    <row r="85">
      <c r="B85" s="16" t="inlineStr">
        <is>
          <t>Steiermark</t>
        </is>
      </c>
      <c r="C85" s="16" t="inlineStr">
        <is>
          <t>Deutschlandsberg</t>
        </is>
      </c>
      <c r="D85" s="16" t="n">
        <v>2024</v>
      </c>
      <c r="E85" s="17" t="n">
        <v>27939</v>
      </c>
      <c r="F85" s="17" t="n">
        <v>13641</v>
      </c>
      <c r="G85" s="17" t="n">
        <v>48952</v>
      </c>
      <c r="H85" s="18" t="n">
        <v>1367.7</v>
      </c>
      <c r="I85" s="18" t="n">
        <v>122.4</v>
      </c>
    </row>
    <row r="86">
      <c r="B86" s="16" t="inlineStr">
        <is>
          <t>Steiermark</t>
        </is>
      </c>
      <c r="C86" s="16" t="inlineStr">
        <is>
          <t>Deutschlandsberg</t>
        </is>
      </c>
      <c r="D86" s="16" t="n">
        <v>2025</v>
      </c>
      <c r="E86" s="17" t="n">
        <v>39298</v>
      </c>
      <c r="F86" s="17" t="n">
        <v>15137</v>
      </c>
      <c r="G86" s="17" t="n">
        <v>41639</v>
      </c>
      <c r="H86" s="18" t="n">
        <v>1636.3</v>
      </c>
      <c r="I86" s="18" t="n">
        <v>104.1</v>
      </c>
    </row>
    <row r="87">
      <c r="B87" s="16" t="inlineStr">
        <is>
          <t>Steiermark</t>
        </is>
      </c>
      <c r="C87" s="16" t="inlineStr">
        <is>
          <t>Deutschlandsberg</t>
        </is>
      </c>
      <c r="D87" s="16" t="n">
        <v>2026</v>
      </c>
      <c r="E87" s="17" t="n">
        <v>199895</v>
      </c>
      <c r="F87" s="17" t="n">
        <v>90940</v>
      </c>
      <c r="G87" s="17" t="n">
        <v>50746</v>
      </c>
      <c r="H87" s="18" t="n">
        <v>10143.9</v>
      </c>
      <c r="I87" s="18" t="n">
        <v>126.9</v>
      </c>
    </row>
    <row r="88">
      <c r="B88" s="16" t="inlineStr">
        <is>
          <t>Steiermark</t>
        </is>
      </c>
      <c r="C88" s="16" t="inlineStr">
        <is>
          <t>Hartberg</t>
        </is>
      </c>
      <c r="D88" s="16" t="n">
        <v>2024</v>
      </c>
      <c r="E88" s="17" t="n">
        <v>161293</v>
      </c>
      <c r="F88" s="17" t="n">
        <v>70908</v>
      </c>
      <c r="G88" s="17" t="n">
        <v>43159</v>
      </c>
      <c r="H88" s="18" t="n">
        <v>6961.2</v>
      </c>
      <c r="I88" s="18" t="n">
        <v>107.9</v>
      </c>
    </row>
    <row r="89">
      <c r="B89" s="16" t="inlineStr">
        <is>
          <t>Steiermark</t>
        </is>
      </c>
      <c r="C89" s="16" t="inlineStr">
        <is>
          <t>Hartberg</t>
        </is>
      </c>
      <c r="D89" s="16" t="n">
        <v>2025</v>
      </c>
      <c r="E89" s="17" t="n">
        <v>150885</v>
      </c>
      <c r="F89" s="17" t="n">
        <v>73592</v>
      </c>
      <c r="G89" s="17" t="n">
        <v>44860</v>
      </c>
      <c r="H89" s="18" t="n">
        <v>6768.7</v>
      </c>
      <c r="I89" s="18" t="n">
        <v>112.1</v>
      </c>
    </row>
    <row r="90">
      <c r="B90" s="16" t="inlineStr">
        <is>
          <t>Steiermark</t>
        </is>
      </c>
      <c r="C90" s="16" t="inlineStr">
        <is>
          <t>Hartberg</t>
        </is>
      </c>
      <c r="D90" s="16" t="n">
        <v>2026</v>
      </c>
      <c r="E90" s="17" t="n">
        <v>16809</v>
      </c>
      <c r="F90" s="17" t="n">
        <v>7688</v>
      </c>
      <c r="G90" s="17" t="n">
        <v>30874</v>
      </c>
      <c r="H90" s="18" t="n">
        <v>519</v>
      </c>
      <c r="I90" s="18" t="n">
        <v>77.2</v>
      </c>
    </row>
    <row r="91">
      <c r="B91" s="16" t="inlineStr">
        <is>
          <t>Steiermark</t>
        </is>
      </c>
      <c r="C91" s="16" t="inlineStr">
        <is>
          <t>Murau</t>
        </is>
      </c>
      <c r="D91" s="16" t="n">
        <v>2024</v>
      </c>
      <c r="E91" s="17" t="n">
        <v>135079</v>
      </c>
      <c r="F91" s="17" t="n">
        <v>67090</v>
      </c>
      <c r="G91" s="17" t="n">
        <v>50883</v>
      </c>
      <c r="H91" s="18" t="n">
        <v>6873.2</v>
      </c>
      <c r="I91" s="18" t="n">
        <v>127.2</v>
      </c>
    </row>
    <row r="92">
      <c r="B92" s="16" t="inlineStr">
        <is>
          <t>Steiermark</t>
        </is>
      </c>
      <c r="C92" s="16" t="inlineStr">
        <is>
          <t>Murau</t>
        </is>
      </c>
      <c r="D92" s="16" t="n">
        <v>2025</v>
      </c>
      <c r="E92" s="17" t="n">
        <v>38592</v>
      </c>
      <c r="F92" s="17" t="n">
        <v>16791</v>
      </c>
      <c r="G92" s="17" t="n">
        <v>48136</v>
      </c>
      <c r="H92" s="18" t="n">
        <v>1857.7</v>
      </c>
      <c r="I92" s="18" t="n">
        <v>120.3</v>
      </c>
    </row>
    <row r="93">
      <c r="B93" s="16" t="inlineStr">
        <is>
          <t>Steiermark</t>
        </is>
      </c>
      <c r="C93" s="16" t="inlineStr">
        <is>
          <t>Murau</t>
        </is>
      </c>
      <c r="D93" s="16" t="n">
        <v>2026</v>
      </c>
      <c r="E93" s="17" t="n">
        <v>182049</v>
      </c>
      <c r="F93" s="17" t="n">
        <v>71328</v>
      </c>
      <c r="G93" s="17" t="n">
        <v>36383</v>
      </c>
      <c r="H93" s="18" t="n">
        <v>6623.5</v>
      </c>
      <c r="I93" s="18" t="n">
        <v>91</v>
      </c>
    </row>
    <row r="94">
      <c r="B94" s="16" t="inlineStr">
        <is>
          <t>Oberösterreich</t>
        </is>
      </c>
      <c r="C94" s="16" t="inlineStr">
        <is>
          <t>Linz</t>
        </is>
      </c>
      <c r="D94" s="16" t="n">
        <v>2024</v>
      </c>
      <c r="E94" s="17" t="n">
        <v>11964</v>
      </c>
      <c r="F94" s="17" t="n">
        <v>5387</v>
      </c>
      <c r="G94" s="17" t="n">
        <v>32693</v>
      </c>
      <c r="H94" s="18" t="n">
        <v>391.1</v>
      </c>
      <c r="I94" s="18" t="n">
        <v>81.7</v>
      </c>
    </row>
    <row r="95">
      <c r="B95" s="16" t="inlineStr">
        <is>
          <t>Oberösterreich</t>
        </is>
      </c>
      <c r="C95" s="16" t="inlineStr">
        <is>
          <t>Linz</t>
        </is>
      </c>
      <c r="D95" s="16" t="n">
        <v>2025</v>
      </c>
      <c r="E95" s="17" t="n">
        <v>186769</v>
      </c>
      <c r="F95" s="17" t="n">
        <v>78903</v>
      </c>
      <c r="G95" s="17" t="n">
        <v>44986</v>
      </c>
      <c r="H95" s="18" t="n">
        <v>8402</v>
      </c>
      <c r="I95" s="18" t="n">
        <v>112.5</v>
      </c>
    </row>
    <row r="96">
      <c r="B96" s="16" t="inlineStr">
        <is>
          <t>Oberösterreich</t>
        </is>
      </c>
      <c r="C96" s="16" t="inlineStr">
        <is>
          <t>Linz</t>
        </is>
      </c>
      <c r="D96" s="16" t="n">
        <v>2026</v>
      </c>
      <c r="E96" s="17" t="n">
        <v>53461</v>
      </c>
      <c r="F96" s="17" t="n">
        <v>21800</v>
      </c>
      <c r="G96" s="17" t="n">
        <v>39223</v>
      </c>
      <c r="H96" s="18" t="n">
        <v>2096.9</v>
      </c>
      <c r="I96" s="18" t="n">
        <v>98.09999999999999</v>
      </c>
    </row>
    <row r="97">
      <c r="B97" s="16" t="inlineStr">
        <is>
          <t>Oberösterreich</t>
        </is>
      </c>
      <c r="C97" s="16" t="inlineStr">
        <is>
          <t>Wels</t>
        </is>
      </c>
      <c r="D97" s="16" t="n">
        <v>2024</v>
      </c>
      <c r="E97" s="17" t="n">
        <v>182012</v>
      </c>
      <c r="F97" s="17" t="n">
        <v>71148</v>
      </c>
      <c r="G97" s="17" t="n">
        <v>44328</v>
      </c>
      <c r="H97" s="18" t="n">
        <v>8068.2</v>
      </c>
      <c r="I97" s="18" t="n">
        <v>110.8</v>
      </c>
    </row>
    <row r="98">
      <c r="B98" s="16" t="inlineStr">
        <is>
          <t>Oberösterreich</t>
        </is>
      </c>
      <c r="C98" s="16" t="inlineStr">
        <is>
          <t>Wels</t>
        </is>
      </c>
      <c r="D98" s="16" t="n">
        <v>2025</v>
      </c>
      <c r="E98" s="17" t="n">
        <v>72303</v>
      </c>
      <c r="F98" s="17" t="n">
        <v>32922</v>
      </c>
      <c r="G98" s="17" t="n">
        <v>49820</v>
      </c>
      <c r="H98" s="18" t="n">
        <v>3602.1</v>
      </c>
      <c r="I98" s="18" t="n">
        <v>124.6</v>
      </c>
    </row>
    <row r="99">
      <c r="B99" s="16" t="inlineStr">
        <is>
          <t>Oberösterreich</t>
        </is>
      </c>
      <c r="C99" s="16" t="inlineStr">
        <is>
          <t>Wels</t>
        </is>
      </c>
      <c r="D99" s="16" t="n">
        <v>2026</v>
      </c>
      <c r="E99" s="17" t="n">
        <v>74693</v>
      </c>
      <c r="F99" s="17" t="n">
        <v>35247</v>
      </c>
      <c r="G99" s="17" t="n">
        <v>42119</v>
      </c>
      <c r="H99" s="18" t="n">
        <v>3146</v>
      </c>
      <c r="I99" s="18" t="n">
        <v>105.3</v>
      </c>
    </row>
    <row r="100">
      <c r="B100" s="16" t="inlineStr">
        <is>
          <t>Oberösterreich</t>
        </is>
      </c>
      <c r="C100" s="16" t="inlineStr">
        <is>
          <t>Steyr</t>
        </is>
      </c>
      <c r="D100" s="16" t="n">
        <v>2024</v>
      </c>
      <c r="E100" s="17" t="n">
        <v>206821</v>
      </c>
      <c r="F100" s="17" t="n">
        <v>81152</v>
      </c>
      <c r="G100" s="17" t="n">
        <v>35018</v>
      </c>
      <c r="H100" s="18" t="n">
        <v>7242.5</v>
      </c>
      <c r="I100" s="18" t="n">
        <v>87.5</v>
      </c>
    </row>
    <row r="101">
      <c r="B101" s="16" t="inlineStr">
        <is>
          <t>Oberösterreich</t>
        </is>
      </c>
      <c r="C101" s="16" t="inlineStr">
        <is>
          <t>Steyr</t>
        </is>
      </c>
      <c r="D101" s="16" t="n">
        <v>2025</v>
      </c>
      <c r="E101" s="17" t="n">
        <v>109773</v>
      </c>
      <c r="F101" s="17" t="n">
        <v>51494</v>
      </c>
      <c r="G101" s="17" t="n">
        <v>38370</v>
      </c>
      <c r="H101" s="18" t="n">
        <v>4212</v>
      </c>
      <c r="I101" s="18" t="n">
        <v>95.90000000000001</v>
      </c>
    </row>
    <row r="102">
      <c r="B102" s="16" t="inlineStr">
        <is>
          <t>Oberösterreich</t>
        </is>
      </c>
      <c r="C102" s="16" t="inlineStr">
        <is>
          <t>Steyr</t>
        </is>
      </c>
      <c r="D102" s="16" t="n">
        <v>2026</v>
      </c>
      <c r="E102" s="17" t="n">
        <v>64022</v>
      </c>
      <c r="F102" s="17" t="n">
        <v>30754</v>
      </c>
      <c r="G102" s="17" t="n">
        <v>44268</v>
      </c>
      <c r="H102" s="18" t="n">
        <v>2834.1</v>
      </c>
      <c r="I102" s="18" t="n">
        <v>110.7</v>
      </c>
    </row>
    <row r="103">
      <c r="B103" s="16" t="inlineStr">
        <is>
          <t>Oberösterreich</t>
        </is>
      </c>
      <c r="C103" s="16" t="inlineStr">
        <is>
          <t>Braunau</t>
        </is>
      </c>
      <c r="D103" s="16" t="n">
        <v>2024</v>
      </c>
      <c r="E103" s="17" t="n">
        <v>100945</v>
      </c>
      <c r="F103" s="17" t="n">
        <v>40341</v>
      </c>
      <c r="G103" s="17" t="n">
        <v>29329</v>
      </c>
      <c r="H103" s="18" t="n">
        <v>2960.6</v>
      </c>
      <c r="I103" s="18" t="n">
        <v>73.3</v>
      </c>
    </row>
    <row r="104">
      <c r="B104" s="16" t="inlineStr">
        <is>
          <t>Oberösterreich</t>
        </is>
      </c>
      <c r="C104" s="16" t="inlineStr">
        <is>
          <t>Braunau</t>
        </is>
      </c>
      <c r="D104" s="16" t="n">
        <v>2025</v>
      </c>
      <c r="E104" s="17" t="n">
        <v>195441</v>
      </c>
      <c r="F104" s="17" t="n">
        <v>95875</v>
      </c>
      <c r="G104" s="17" t="n">
        <v>37070</v>
      </c>
      <c r="H104" s="18" t="n">
        <v>7245</v>
      </c>
      <c r="I104" s="18" t="n">
        <v>92.7</v>
      </c>
    </row>
    <row r="105">
      <c r="B105" s="16" t="inlineStr">
        <is>
          <t>Oberösterreich</t>
        </is>
      </c>
      <c r="C105" s="16" t="inlineStr">
        <is>
          <t>Braunau</t>
        </is>
      </c>
      <c r="D105" s="16" t="n">
        <v>2026</v>
      </c>
      <c r="E105" s="17" t="n">
        <v>53336</v>
      </c>
      <c r="F105" s="17" t="n">
        <v>25794</v>
      </c>
      <c r="G105" s="17" t="n">
        <v>43445</v>
      </c>
      <c r="H105" s="18" t="n">
        <v>2317.2</v>
      </c>
      <c r="I105" s="18" t="n">
        <v>108.6</v>
      </c>
    </row>
    <row r="106">
      <c r="B106" s="16" t="inlineStr">
        <is>
          <t>Oberösterreich</t>
        </is>
      </c>
      <c r="C106" s="16" t="inlineStr">
        <is>
          <t>Gmunden</t>
        </is>
      </c>
      <c r="D106" s="16" t="n">
        <v>2024</v>
      </c>
      <c r="E106" s="17" t="n">
        <v>81132</v>
      </c>
      <c r="F106" s="17" t="n">
        <v>31748</v>
      </c>
      <c r="G106" s="17" t="n">
        <v>41565</v>
      </c>
      <c r="H106" s="18" t="n">
        <v>3372.3</v>
      </c>
      <c r="I106" s="18" t="n">
        <v>103.9</v>
      </c>
    </row>
    <row r="107">
      <c r="B107" s="16" t="inlineStr">
        <is>
          <t>Oberösterreich</t>
        </is>
      </c>
      <c r="C107" s="16" t="inlineStr">
        <is>
          <t>Gmunden</t>
        </is>
      </c>
      <c r="D107" s="16" t="n">
        <v>2025</v>
      </c>
      <c r="E107" s="17" t="n">
        <v>109282</v>
      </c>
      <c r="F107" s="17" t="n">
        <v>46004</v>
      </c>
      <c r="G107" s="17" t="n">
        <v>44183</v>
      </c>
      <c r="H107" s="18" t="n">
        <v>4828.4</v>
      </c>
      <c r="I107" s="18" t="n">
        <v>110.5</v>
      </c>
    </row>
    <row r="108">
      <c r="B108" s="16" t="inlineStr">
        <is>
          <t>Oberösterreich</t>
        </is>
      </c>
      <c r="C108" s="16" t="inlineStr">
        <is>
          <t>Gmunden</t>
        </is>
      </c>
      <c r="D108" s="16" t="n">
        <v>2026</v>
      </c>
      <c r="E108" s="17" t="n">
        <v>185199</v>
      </c>
      <c r="F108" s="17" t="n">
        <v>84595</v>
      </c>
      <c r="G108" s="17" t="n">
        <v>48472</v>
      </c>
      <c r="H108" s="18" t="n">
        <v>8977</v>
      </c>
      <c r="I108" s="18" t="n">
        <v>121.2</v>
      </c>
    </row>
    <row r="109">
      <c r="B109" s="16" t="inlineStr">
        <is>
          <t>Oberösterreich</t>
        </is>
      </c>
      <c r="C109" s="16" t="inlineStr">
        <is>
          <t>Ried</t>
        </is>
      </c>
      <c r="D109" s="16" t="n">
        <v>2024</v>
      </c>
      <c r="E109" s="17" t="n">
        <v>127614</v>
      </c>
      <c r="F109" s="17" t="n">
        <v>58212</v>
      </c>
      <c r="G109" s="17" t="n">
        <v>29031</v>
      </c>
      <c r="H109" s="18" t="n">
        <v>3704.8</v>
      </c>
      <c r="I109" s="18" t="n">
        <v>72.59999999999999</v>
      </c>
    </row>
    <row r="110">
      <c r="B110" s="16" t="inlineStr">
        <is>
          <t>Oberösterreich</t>
        </is>
      </c>
      <c r="C110" s="16" t="inlineStr">
        <is>
          <t>Ried</t>
        </is>
      </c>
      <c r="D110" s="16" t="n">
        <v>2025</v>
      </c>
      <c r="E110" s="17" t="n">
        <v>81908</v>
      </c>
      <c r="F110" s="17" t="n">
        <v>32455</v>
      </c>
      <c r="G110" s="17" t="n">
        <v>29359</v>
      </c>
      <c r="H110" s="18" t="n">
        <v>2404.7</v>
      </c>
      <c r="I110" s="18" t="n">
        <v>73.40000000000001</v>
      </c>
    </row>
    <row r="111">
      <c r="B111" s="16" t="inlineStr">
        <is>
          <t>Oberösterreich</t>
        </is>
      </c>
      <c r="C111" s="16" t="inlineStr">
        <is>
          <t>Ried</t>
        </is>
      </c>
      <c r="D111" s="16" t="n">
        <v>2026</v>
      </c>
      <c r="E111" s="17" t="n">
        <v>186800</v>
      </c>
      <c r="F111" s="17" t="n">
        <v>77025</v>
      </c>
      <c r="G111" s="17" t="n">
        <v>46696</v>
      </c>
      <c r="H111" s="18" t="n">
        <v>8722.799999999999</v>
      </c>
      <c r="I111" s="18" t="n">
        <v>116.7</v>
      </c>
    </row>
    <row r="112">
      <c r="B112" s="16" t="inlineStr">
        <is>
          <t>Oberösterreich</t>
        </is>
      </c>
      <c r="C112" s="16" t="inlineStr">
        <is>
          <t>Vöcklabruck</t>
        </is>
      </c>
      <c r="D112" s="16" t="n">
        <v>2024</v>
      </c>
      <c r="E112" s="17" t="n">
        <v>101855</v>
      </c>
      <c r="F112" s="17" t="n">
        <v>46606</v>
      </c>
      <c r="G112" s="17" t="n">
        <v>46482</v>
      </c>
      <c r="H112" s="18" t="n">
        <v>4734.4</v>
      </c>
      <c r="I112" s="18" t="n">
        <v>116.2</v>
      </c>
    </row>
    <row r="113">
      <c r="B113" s="16" t="inlineStr">
        <is>
          <t>Oberösterreich</t>
        </is>
      </c>
      <c r="C113" s="16" t="inlineStr">
        <is>
          <t>Vöcklabruck</t>
        </is>
      </c>
      <c r="D113" s="16" t="n">
        <v>2025</v>
      </c>
      <c r="E113" s="17" t="n">
        <v>14010</v>
      </c>
      <c r="F113" s="17" t="n">
        <v>5875</v>
      </c>
      <c r="G113" s="17" t="n">
        <v>41277</v>
      </c>
      <c r="H113" s="18" t="n">
        <v>578.3</v>
      </c>
      <c r="I113" s="18" t="n">
        <v>103.2</v>
      </c>
    </row>
    <row r="114">
      <c r="B114" s="16" t="inlineStr">
        <is>
          <t>Oberösterreich</t>
        </is>
      </c>
      <c r="C114" s="16" t="inlineStr">
        <is>
          <t>Vöcklabruck</t>
        </is>
      </c>
      <c r="D114" s="16" t="n">
        <v>2026</v>
      </c>
      <c r="E114" s="17" t="n">
        <v>128231</v>
      </c>
      <c r="F114" s="17" t="n">
        <v>60659</v>
      </c>
      <c r="G114" s="17" t="n">
        <v>36729</v>
      </c>
      <c r="H114" s="18" t="n">
        <v>4709.8</v>
      </c>
      <c r="I114" s="18" t="n">
        <v>91.8</v>
      </c>
    </row>
    <row r="115">
      <c r="B115" s="16" t="inlineStr">
        <is>
          <t>Oberösterreich</t>
        </is>
      </c>
      <c r="C115" s="16" t="inlineStr">
        <is>
          <t>Schärding</t>
        </is>
      </c>
      <c r="D115" s="16" t="n">
        <v>2024</v>
      </c>
      <c r="E115" s="17" t="n">
        <v>71235</v>
      </c>
      <c r="F115" s="17" t="n">
        <v>28868</v>
      </c>
      <c r="G115" s="17" t="n">
        <v>29538</v>
      </c>
      <c r="H115" s="18" t="n">
        <v>2104.1</v>
      </c>
      <c r="I115" s="18" t="n">
        <v>73.8</v>
      </c>
    </row>
    <row r="116">
      <c r="B116" s="16" t="inlineStr">
        <is>
          <t>Oberösterreich</t>
        </is>
      </c>
      <c r="C116" s="16" t="inlineStr">
        <is>
          <t>Schärding</t>
        </is>
      </c>
      <c r="D116" s="16" t="n">
        <v>2025</v>
      </c>
      <c r="E116" s="17" t="n">
        <v>173935</v>
      </c>
      <c r="F116" s="17" t="n">
        <v>84059</v>
      </c>
      <c r="G116" s="17" t="n">
        <v>31572</v>
      </c>
      <c r="H116" s="18" t="n">
        <v>5491.5</v>
      </c>
      <c r="I116" s="18" t="n">
        <v>78.90000000000001</v>
      </c>
    </row>
    <row r="117">
      <c r="B117" s="16" t="inlineStr">
        <is>
          <t>Oberösterreich</t>
        </is>
      </c>
      <c r="C117" s="16" t="inlineStr">
        <is>
          <t>Schärding</t>
        </is>
      </c>
      <c r="D117" s="16" t="n">
        <v>2026</v>
      </c>
      <c r="E117" s="17" t="n">
        <v>174141</v>
      </c>
      <c r="F117" s="17" t="n">
        <v>75020</v>
      </c>
      <c r="G117" s="17" t="n">
        <v>48968</v>
      </c>
      <c r="H117" s="18" t="n">
        <v>8527.299999999999</v>
      </c>
      <c r="I117" s="18" t="n">
        <v>122.4</v>
      </c>
    </row>
    <row r="118">
      <c r="B118" s="16" t="inlineStr">
        <is>
          <t>Niederösterreich</t>
        </is>
      </c>
      <c r="C118" s="16" t="inlineStr">
        <is>
          <t>St. Pölten</t>
        </is>
      </c>
      <c r="D118" s="16" t="n">
        <v>2024</v>
      </c>
      <c r="E118" s="17" t="n">
        <v>105648</v>
      </c>
      <c r="F118" s="17" t="n">
        <v>41027</v>
      </c>
      <c r="G118" s="17" t="n">
        <v>50429</v>
      </c>
      <c r="H118" s="18" t="n">
        <v>5327.7</v>
      </c>
      <c r="I118" s="18" t="n">
        <v>126.1</v>
      </c>
    </row>
    <row r="119">
      <c r="B119" s="16" t="inlineStr">
        <is>
          <t>Niederösterreich</t>
        </is>
      </c>
      <c r="C119" s="16" t="inlineStr">
        <is>
          <t>St. Pölten</t>
        </is>
      </c>
      <c r="D119" s="16" t="n">
        <v>2025</v>
      </c>
      <c r="E119" s="17" t="n">
        <v>60917</v>
      </c>
      <c r="F119" s="17" t="n">
        <v>28739</v>
      </c>
      <c r="G119" s="17" t="n">
        <v>43569</v>
      </c>
      <c r="H119" s="18" t="n">
        <v>2654.1</v>
      </c>
      <c r="I119" s="18" t="n">
        <v>108.9</v>
      </c>
    </row>
    <row r="120">
      <c r="B120" s="16" t="inlineStr">
        <is>
          <t>Niederösterreich</t>
        </is>
      </c>
      <c r="C120" s="16" t="inlineStr">
        <is>
          <t>St. Pölten</t>
        </is>
      </c>
      <c r="D120" s="16" t="n">
        <v>2026</v>
      </c>
      <c r="E120" s="17" t="n">
        <v>76119</v>
      </c>
      <c r="F120" s="17" t="n">
        <v>36123</v>
      </c>
      <c r="G120" s="17" t="n">
        <v>28352</v>
      </c>
      <c r="H120" s="18" t="n">
        <v>2158.1</v>
      </c>
      <c r="I120" s="18" t="n">
        <v>70.90000000000001</v>
      </c>
    </row>
    <row r="121">
      <c r="B121" s="16" t="inlineStr">
        <is>
          <t>Niederösterreich</t>
        </is>
      </c>
      <c r="C121" s="16" t="inlineStr">
        <is>
          <t>Krems</t>
        </is>
      </c>
      <c r="D121" s="16" t="n">
        <v>2024</v>
      </c>
      <c r="E121" s="17" t="n">
        <v>206932</v>
      </c>
      <c r="F121" s="17" t="n">
        <v>90627</v>
      </c>
      <c r="G121" s="17" t="n">
        <v>51401</v>
      </c>
      <c r="H121" s="18" t="n">
        <v>10636.5</v>
      </c>
      <c r="I121" s="18" t="n">
        <v>128.5</v>
      </c>
    </row>
    <row r="122">
      <c r="B122" s="16" t="inlineStr">
        <is>
          <t>Niederösterreich</t>
        </is>
      </c>
      <c r="C122" s="16" t="inlineStr">
        <is>
          <t>Krems</t>
        </is>
      </c>
      <c r="D122" s="16" t="n">
        <v>2025</v>
      </c>
      <c r="E122" s="17" t="n">
        <v>18483</v>
      </c>
      <c r="F122" s="17" t="n">
        <v>8770</v>
      </c>
      <c r="G122" s="17" t="n">
        <v>36924</v>
      </c>
      <c r="H122" s="18" t="n">
        <v>682.5</v>
      </c>
      <c r="I122" s="18" t="n">
        <v>92.3</v>
      </c>
    </row>
    <row r="123">
      <c r="B123" s="16" t="inlineStr">
        <is>
          <t>Niederösterreich</t>
        </is>
      </c>
      <c r="C123" s="16" t="inlineStr">
        <is>
          <t>Krems</t>
        </is>
      </c>
      <c r="D123" s="16" t="n">
        <v>2026</v>
      </c>
      <c r="E123" s="17" t="n">
        <v>99633</v>
      </c>
      <c r="F123" s="17" t="n">
        <v>42874</v>
      </c>
      <c r="G123" s="17" t="n">
        <v>45053</v>
      </c>
      <c r="H123" s="18" t="n">
        <v>4488.8</v>
      </c>
      <c r="I123" s="18" t="n">
        <v>112.6</v>
      </c>
    </row>
    <row r="124">
      <c r="B124" s="16" t="inlineStr">
        <is>
          <t>Niederösterreich</t>
        </is>
      </c>
      <c r="C124" s="16" t="inlineStr">
        <is>
          <t>Wiener Neustadt</t>
        </is>
      </c>
      <c r="D124" s="16" t="n">
        <v>2024</v>
      </c>
      <c r="E124" s="17" t="n">
        <v>140181</v>
      </c>
      <c r="F124" s="17" t="n">
        <v>59181</v>
      </c>
      <c r="G124" s="17" t="n">
        <v>33216</v>
      </c>
      <c r="H124" s="18" t="n">
        <v>4656.3</v>
      </c>
      <c r="I124" s="18" t="n">
        <v>83</v>
      </c>
    </row>
    <row r="125">
      <c r="B125" s="16" t="inlineStr">
        <is>
          <t>Niederösterreich</t>
        </is>
      </c>
      <c r="C125" s="16" t="inlineStr">
        <is>
          <t>Wiener Neustadt</t>
        </is>
      </c>
      <c r="D125" s="16" t="n">
        <v>2025</v>
      </c>
      <c r="E125" s="17" t="n">
        <v>112157</v>
      </c>
      <c r="F125" s="17" t="n">
        <v>44697</v>
      </c>
      <c r="G125" s="17" t="n">
        <v>50930</v>
      </c>
      <c r="H125" s="18" t="n">
        <v>5712.2</v>
      </c>
      <c r="I125" s="18" t="n">
        <v>127.3</v>
      </c>
    </row>
    <row r="126">
      <c r="B126" s="16" t="inlineStr">
        <is>
          <t>Niederösterreich</t>
        </is>
      </c>
      <c r="C126" s="16" t="inlineStr">
        <is>
          <t>Wiener Neustadt</t>
        </is>
      </c>
      <c r="D126" s="16" t="n">
        <v>2026</v>
      </c>
      <c r="E126" s="17" t="n">
        <v>67700</v>
      </c>
      <c r="F126" s="17" t="n">
        <v>32986</v>
      </c>
      <c r="G126" s="17" t="n">
        <v>51670</v>
      </c>
      <c r="H126" s="18" t="n">
        <v>3498.1</v>
      </c>
      <c r="I126" s="18" t="n">
        <v>129.2</v>
      </c>
    </row>
    <row r="127">
      <c r="B127" s="16" t="inlineStr">
        <is>
          <t>Niederösterreich</t>
        </is>
      </c>
      <c r="C127" s="16" t="inlineStr">
        <is>
          <t>Amstetten</t>
        </is>
      </c>
      <c r="D127" s="16" t="n">
        <v>2024</v>
      </c>
      <c r="E127" s="17" t="n">
        <v>110704</v>
      </c>
      <c r="F127" s="17" t="n">
        <v>53275</v>
      </c>
      <c r="G127" s="17" t="n">
        <v>42861</v>
      </c>
      <c r="H127" s="18" t="n">
        <v>4744.9</v>
      </c>
      <c r="I127" s="18" t="n">
        <v>107.2</v>
      </c>
    </row>
    <row r="128">
      <c r="B128" s="16" t="inlineStr">
        <is>
          <t>Niederösterreich</t>
        </is>
      </c>
      <c r="C128" s="16" t="inlineStr">
        <is>
          <t>Amstetten</t>
        </is>
      </c>
      <c r="D128" s="16" t="n">
        <v>2025</v>
      </c>
      <c r="E128" s="17" t="n">
        <v>60610</v>
      </c>
      <c r="F128" s="17" t="n">
        <v>25516</v>
      </c>
      <c r="G128" s="17" t="n">
        <v>28220</v>
      </c>
      <c r="H128" s="18" t="n">
        <v>1710.4</v>
      </c>
      <c r="I128" s="18" t="n">
        <v>70.5</v>
      </c>
    </row>
    <row r="129">
      <c r="B129" s="16" t="inlineStr">
        <is>
          <t>Niederösterreich</t>
        </is>
      </c>
      <c r="C129" s="16" t="inlineStr">
        <is>
          <t>Amstetten</t>
        </is>
      </c>
      <c r="D129" s="16" t="n">
        <v>2026</v>
      </c>
      <c r="E129" s="17" t="n">
        <v>107776</v>
      </c>
      <c r="F129" s="17" t="n">
        <v>46255</v>
      </c>
      <c r="G129" s="17" t="n">
        <v>49386</v>
      </c>
      <c r="H129" s="18" t="n">
        <v>5322.6</v>
      </c>
      <c r="I129" s="18" t="n">
        <v>123.5</v>
      </c>
    </row>
    <row r="130">
      <c r="B130" s="16" t="inlineStr">
        <is>
          <t>Niederösterreich</t>
        </is>
      </c>
      <c r="C130" s="16" t="inlineStr">
        <is>
          <t>Baden</t>
        </is>
      </c>
      <c r="D130" s="16" t="n">
        <v>2024</v>
      </c>
      <c r="E130" s="17" t="n">
        <v>140766</v>
      </c>
      <c r="F130" s="17" t="n">
        <v>56804</v>
      </c>
      <c r="G130" s="17" t="n">
        <v>39242</v>
      </c>
      <c r="H130" s="18" t="n">
        <v>5523.9</v>
      </c>
      <c r="I130" s="18" t="n">
        <v>98.09999999999999</v>
      </c>
    </row>
    <row r="131">
      <c r="B131" s="16" t="inlineStr">
        <is>
          <t>Niederösterreich</t>
        </is>
      </c>
      <c r="C131" s="16" t="inlineStr">
        <is>
          <t>Baden</t>
        </is>
      </c>
      <c r="D131" s="16" t="n">
        <v>2025</v>
      </c>
      <c r="E131" s="17" t="n">
        <v>130558</v>
      </c>
      <c r="F131" s="17" t="n">
        <v>59455</v>
      </c>
      <c r="G131" s="17" t="n">
        <v>34713</v>
      </c>
      <c r="H131" s="18" t="n">
        <v>4532.1</v>
      </c>
      <c r="I131" s="18" t="n">
        <v>86.8</v>
      </c>
    </row>
    <row r="132">
      <c r="B132" s="16" t="inlineStr">
        <is>
          <t>Niederösterreich</t>
        </is>
      </c>
      <c r="C132" s="16" t="inlineStr">
        <is>
          <t>Baden</t>
        </is>
      </c>
      <c r="D132" s="16" t="n">
        <v>2026</v>
      </c>
      <c r="E132" s="17" t="n">
        <v>34942</v>
      </c>
      <c r="F132" s="17" t="n">
        <v>14360</v>
      </c>
      <c r="G132" s="17" t="n">
        <v>49024</v>
      </c>
      <c r="H132" s="18" t="n">
        <v>1713</v>
      </c>
      <c r="I132" s="18" t="n">
        <v>122.6</v>
      </c>
    </row>
    <row r="133">
      <c r="B133" s="16" t="inlineStr">
        <is>
          <t>Niederösterreich</t>
        </is>
      </c>
      <c r="C133" s="16" t="inlineStr">
        <is>
          <t>Mödling</t>
        </is>
      </c>
      <c r="D133" s="16" t="n">
        <v>2024</v>
      </c>
      <c r="E133" s="17" t="n">
        <v>197130</v>
      </c>
      <c r="F133" s="17" t="n">
        <v>95044</v>
      </c>
      <c r="G133" s="17" t="n">
        <v>35939</v>
      </c>
      <c r="H133" s="18" t="n">
        <v>7084.7</v>
      </c>
      <c r="I133" s="18" t="n">
        <v>89.8</v>
      </c>
    </row>
    <row r="134">
      <c r="B134" s="16" t="inlineStr">
        <is>
          <t>Niederösterreich</t>
        </is>
      </c>
      <c r="C134" s="16" t="inlineStr">
        <is>
          <t>Mödling</t>
        </is>
      </c>
      <c r="D134" s="16" t="n">
        <v>2025</v>
      </c>
      <c r="E134" s="17" t="n">
        <v>111294</v>
      </c>
      <c r="F134" s="17" t="n">
        <v>42998</v>
      </c>
      <c r="G134" s="17" t="n">
        <v>38153</v>
      </c>
      <c r="H134" s="18" t="n">
        <v>4246.2</v>
      </c>
      <c r="I134" s="18" t="n">
        <v>95.40000000000001</v>
      </c>
    </row>
    <row r="135">
      <c r="B135" s="16" t="inlineStr">
        <is>
          <t>Niederösterreich</t>
        </is>
      </c>
      <c r="C135" s="16" t="inlineStr">
        <is>
          <t>Mödling</t>
        </is>
      </c>
      <c r="D135" s="16" t="n">
        <v>2026</v>
      </c>
      <c r="E135" s="17" t="n">
        <v>149759</v>
      </c>
      <c r="F135" s="17" t="n">
        <v>57910</v>
      </c>
      <c r="G135" s="17" t="n">
        <v>38498</v>
      </c>
      <c r="H135" s="18" t="n">
        <v>5765.4</v>
      </c>
      <c r="I135" s="18" t="n">
        <v>96.2</v>
      </c>
    </row>
    <row r="136">
      <c r="B136" s="16" t="inlineStr">
        <is>
          <t>Niederösterreich</t>
        </is>
      </c>
      <c r="C136" s="16" t="inlineStr">
        <is>
          <t>Tulln</t>
        </is>
      </c>
      <c r="D136" s="16" t="n">
        <v>2024</v>
      </c>
      <c r="E136" s="17" t="n">
        <v>77651</v>
      </c>
      <c r="F136" s="17" t="n">
        <v>30499</v>
      </c>
      <c r="G136" s="17" t="n">
        <v>28512</v>
      </c>
      <c r="H136" s="18" t="n">
        <v>2214</v>
      </c>
      <c r="I136" s="18" t="n">
        <v>71.3</v>
      </c>
    </row>
    <row r="137">
      <c r="B137" s="16" t="inlineStr">
        <is>
          <t>Niederösterreich</t>
        </is>
      </c>
      <c r="C137" s="16" t="inlineStr">
        <is>
          <t>Tulln</t>
        </is>
      </c>
      <c r="D137" s="16" t="n">
        <v>2025</v>
      </c>
      <c r="E137" s="17" t="n">
        <v>100359</v>
      </c>
      <c r="F137" s="17" t="n">
        <v>43580</v>
      </c>
      <c r="G137" s="17" t="n">
        <v>29216</v>
      </c>
      <c r="H137" s="18" t="n">
        <v>2932.1</v>
      </c>
      <c r="I137" s="18" t="n">
        <v>73</v>
      </c>
    </row>
    <row r="138">
      <c r="B138" s="16" t="inlineStr">
        <is>
          <t>Niederösterreich</t>
        </is>
      </c>
      <c r="C138" s="16" t="inlineStr">
        <is>
          <t>Tulln</t>
        </is>
      </c>
      <c r="D138" s="16" t="n">
        <v>2026</v>
      </c>
      <c r="E138" s="17" t="n">
        <v>124579</v>
      </c>
      <c r="F138" s="17" t="n">
        <v>56492</v>
      </c>
      <c r="G138" s="17" t="n">
        <v>41808</v>
      </c>
      <c r="H138" s="18" t="n">
        <v>5208.4</v>
      </c>
      <c r="I138" s="18" t="n">
        <v>104.5</v>
      </c>
    </row>
    <row r="139">
      <c r="B139" s="16" t="inlineStr">
        <is>
          <t>Niederösterreich</t>
        </is>
      </c>
      <c r="C139" s="16" t="inlineStr">
        <is>
          <t>Zwettl</t>
        </is>
      </c>
      <c r="D139" s="16" t="n">
        <v>2024</v>
      </c>
      <c r="E139" s="17" t="n">
        <v>81156</v>
      </c>
      <c r="F139" s="17" t="n">
        <v>35401</v>
      </c>
      <c r="G139" s="17" t="n">
        <v>28930</v>
      </c>
      <c r="H139" s="18" t="n">
        <v>2347.8</v>
      </c>
      <c r="I139" s="18" t="n">
        <v>72.3</v>
      </c>
    </row>
    <row r="140">
      <c r="B140" s="16" t="inlineStr">
        <is>
          <t>Niederösterreich</t>
        </is>
      </c>
      <c r="C140" s="16" t="inlineStr">
        <is>
          <t>Zwettl</t>
        </is>
      </c>
      <c r="D140" s="16" t="n">
        <v>2025</v>
      </c>
      <c r="E140" s="17" t="n">
        <v>66224</v>
      </c>
      <c r="F140" s="17" t="n">
        <v>26644</v>
      </c>
      <c r="G140" s="17" t="n">
        <v>30099</v>
      </c>
      <c r="H140" s="18" t="n">
        <v>1993.3</v>
      </c>
      <c r="I140" s="18" t="n">
        <v>75.2</v>
      </c>
    </row>
    <row r="141">
      <c r="B141" s="16" t="inlineStr">
        <is>
          <t>Niederösterreich</t>
        </is>
      </c>
      <c r="C141" s="16" t="inlineStr">
        <is>
          <t>Zwettl</t>
        </is>
      </c>
      <c r="D141" s="16" t="n">
        <v>2026</v>
      </c>
      <c r="E141" s="17" t="n">
        <v>121442</v>
      </c>
      <c r="F141" s="17" t="n">
        <v>48970</v>
      </c>
      <c r="G141" s="17" t="n">
        <v>33665</v>
      </c>
      <c r="H141" s="18" t="n">
        <v>4088.3</v>
      </c>
      <c r="I141" s="18" t="n">
        <v>84.2</v>
      </c>
    </row>
    <row r="142">
      <c r="B142" s="16" t="inlineStr">
        <is>
          <t>Niederösterreich</t>
        </is>
      </c>
      <c r="C142" s="16" t="inlineStr">
        <is>
          <t>Melk</t>
        </is>
      </c>
      <c r="D142" s="16" t="n">
        <v>2024</v>
      </c>
      <c r="E142" s="17" t="n">
        <v>148754</v>
      </c>
      <c r="F142" s="17" t="n">
        <v>67584</v>
      </c>
      <c r="G142" s="17" t="n">
        <v>32603</v>
      </c>
      <c r="H142" s="18" t="n">
        <v>4849.8</v>
      </c>
      <c r="I142" s="18" t="n">
        <v>81.5</v>
      </c>
    </row>
    <row r="143">
      <c r="B143" s="16" t="inlineStr">
        <is>
          <t>Niederösterreich</t>
        </is>
      </c>
      <c r="C143" s="16" t="inlineStr">
        <is>
          <t>Melk</t>
        </is>
      </c>
      <c r="D143" s="16" t="n">
        <v>2025</v>
      </c>
      <c r="E143" s="17" t="n">
        <v>132355</v>
      </c>
      <c r="F143" s="17" t="n">
        <v>63351</v>
      </c>
      <c r="G143" s="17" t="n">
        <v>44925</v>
      </c>
      <c r="H143" s="18" t="n">
        <v>5946</v>
      </c>
      <c r="I143" s="18" t="n">
        <v>112.3</v>
      </c>
    </row>
    <row r="144">
      <c r="B144" s="16" t="inlineStr">
        <is>
          <t>Niederösterreich</t>
        </is>
      </c>
      <c r="C144" s="16" t="inlineStr">
        <is>
          <t>Melk</t>
        </is>
      </c>
      <c r="D144" s="16" t="n">
        <v>2026</v>
      </c>
      <c r="E144" s="17" t="n">
        <v>198678</v>
      </c>
      <c r="F144" s="17" t="n">
        <v>85973</v>
      </c>
      <c r="G144" s="17" t="n">
        <v>50212</v>
      </c>
      <c r="H144" s="18" t="n">
        <v>9976</v>
      </c>
      <c r="I144" s="18" t="n">
        <v>125.5</v>
      </c>
    </row>
    <row r="145">
      <c r="B145" s="16" t="inlineStr">
        <is>
          <t>Burgenland</t>
        </is>
      </c>
      <c r="C145" s="16" t="inlineStr">
        <is>
          <t>Eisenstadt</t>
        </is>
      </c>
      <c r="D145" s="16" t="n">
        <v>2024</v>
      </c>
      <c r="E145" s="17" t="n">
        <v>189714</v>
      </c>
      <c r="F145" s="17" t="n">
        <v>83792</v>
      </c>
      <c r="G145" s="17" t="n">
        <v>44140</v>
      </c>
      <c r="H145" s="18" t="n">
        <v>8374</v>
      </c>
      <c r="I145" s="18" t="n">
        <v>110.3</v>
      </c>
    </row>
    <row r="146">
      <c r="B146" s="16" t="inlineStr">
        <is>
          <t>Burgenland</t>
        </is>
      </c>
      <c r="C146" s="16" t="inlineStr">
        <is>
          <t>Eisenstadt</t>
        </is>
      </c>
      <c r="D146" s="16" t="n">
        <v>2025</v>
      </c>
      <c r="E146" s="17" t="n">
        <v>160768</v>
      </c>
      <c r="F146" s="17" t="n">
        <v>62567</v>
      </c>
      <c r="G146" s="17" t="n">
        <v>30818</v>
      </c>
      <c r="H146" s="18" t="n">
        <v>4954.5</v>
      </c>
      <c r="I146" s="18" t="n">
        <v>77</v>
      </c>
    </row>
    <row r="147">
      <c r="B147" s="16" t="inlineStr">
        <is>
          <t>Burgenland</t>
        </is>
      </c>
      <c r="C147" s="16" t="inlineStr">
        <is>
          <t>Eisenstadt</t>
        </is>
      </c>
      <c r="D147" s="16" t="n">
        <v>2026</v>
      </c>
      <c r="E147" s="17" t="n">
        <v>207662</v>
      </c>
      <c r="F147" s="17" t="n">
        <v>97363</v>
      </c>
      <c r="G147" s="17" t="n">
        <v>45257</v>
      </c>
      <c r="H147" s="18" t="n">
        <v>9398.200000000001</v>
      </c>
      <c r="I147" s="18" t="n">
        <v>113.1</v>
      </c>
    </row>
    <row r="148">
      <c r="B148" s="16" t="inlineStr">
        <is>
          <t>Burgenland</t>
        </is>
      </c>
      <c r="C148" s="16" t="inlineStr">
        <is>
          <t>Neusiedl</t>
        </is>
      </c>
      <c r="D148" s="16" t="n">
        <v>2024</v>
      </c>
      <c r="E148" s="17" t="n">
        <v>155479</v>
      </c>
      <c r="F148" s="17" t="n">
        <v>71514</v>
      </c>
      <c r="G148" s="17" t="n">
        <v>51882</v>
      </c>
      <c r="H148" s="18" t="n">
        <v>8066.6</v>
      </c>
      <c r="I148" s="18" t="n">
        <v>129.7</v>
      </c>
    </row>
    <row r="149">
      <c r="B149" s="16" t="inlineStr">
        <is>
          <t>Burgenland</t>
        </is>
      </c>
      <c r="C149" s="16" t="inlineStr">
        <is>
          <t>Neusiedl</t>
        </is>
      </c>
      <c r="D149" s="16" t="n">
        <v>2025</v>
      </c>
      <c r="E149" s="17" t="n">
        <v>156202</v>
      </c>
      <c r="F149" s="17" t="n">
        <v>65539</v>
      </c>
      <c r="G149" s="17" t="n">
        <v>45130</v>
      </c>
      <c r="H149" s="18" t="n">
        <v>7049.4</v>
      </c>
      <c r="I149" s="18" t="n">
        <v>112.8</v>
      </c>
    </row>
    <row r="150">
      <c r="B150" s="16" t="inlineStr">
        <is>
          <t>Burgenland</t>
        </is>
      </c>
      <c r="C150" s="16" t="inlineStr">
        <is>
          <t>Neusiedl</t>
        </is>
      </c>
      <c r="D150" s="16" t="n">
        <v>2026</v>
      </c>
      <c r="E150" s="17" t="n">
        <v>143798</v>
      </c>
      <c r="F150" s="17" t="n">
        <v>57377</v>
      </c>
      <c r="G150" s="17" t="n">
        <v>46349</v>
      </c>
      <c r="H150" s="18" t="n">
        <v>6664.9</v>
      </c>
      <c r="I150" s="18" t="n">
        <v>115.9</v>
      </c>
    </row>
    <row r="151">
      <c r="B151" s="16" t="inlineStr">
        <is>
          <t>Burgenland</t>
        </is>
      </c>
      <c r="C151" s="16" t="inlineStr">
        <is>
          <t>Oberwart</t>
        </is>
      </c>
      <c r="D151" s="16" t="n">
        <v>2024</v>
      </c>
      <c r="E151" s="17" t="n">
        <v>76243</v>
      </c>
      <c r="F151" s="17" t="n">
        <v>34861</v>
      </c>
      <c r="G151" s="17" t="n">
        <v>40491</v>
      </c>
      <c r="H151" s="18" t="n">
        <v>3087.2</v>
      </c>
      <c r="I151" s="18" t="n">
        <v>101.2</v>
      </c>
    </row>
    <row r="152">
      <c r="B152" s="16" t="inlineStr">
        <is>
          <t>Burgenland</t>
        </is>
      </c>
      <c r="C152" s="16" t="inlineStr">
        <is>
          <t>Oberwart</t>
        </is>
      </c>
      <c r="D152" s="16" t="n">
        <v>2025</v>
      </c>
      <c r="E152" s="17" t="n">
        <v>168759</v>
      </c>
      <c r="F152" s="17" t="n">
        <v>79418</v>
      </c>
      <c r="G152" s="17" t="n">
        <v>32625</v>
      </c>
      <c r="H152" s="18" t="n">
        <v>5505.8</v>
      </c>
      <c r="I152" s="18" t="n">
        <v>81.59999999999999</v>
      </c>
    </row>
    <row r="153">
      <c r="B153" s="16" t="inlineStr">
        <is>
          <t>Burgenland</t>
        </is>
      </c>
      <c r="C153" s="16" t="inlineStr">
        <is>
          <t>Oberwart</t>
        </is>
      </c>
      <c r="D153" s="16" t="n">
        <v>2026</v>
      </c>
      <c r="E153" s="17" t="n">
        <v>151792</v>
      </c>
      <c r="F153" s="17" t="n">
        <v>65582</v>
      </c>
      <c r="G153" s="17" t="n">
        <v>46775</v>
      </c>
      <c r="H153" s="18" t="n">
        <v>7100.1</v>
      </c>
      <c r="I153" s="18" t="n">
        <v>116.9</v>
      </c>
    </row>
    <row r="154">
      <c r="B154" s="16" t="inlineStr">
        <is>
          <t>Burgenland</t>
        </is>
      </c>
      <c r="C154" s="16" t="inlineStr">
        <is>
          <t>Güssing</t>
        </is>
      </c>
      <c r="D154" s="16" t="n">
        <v>2024</v>
      </c>
      <c r="E154" s="17" t="n">
        <v>139455</v>
      </c>
      <c r="F154" s="17" t="n">
        <v>65762</v>
      </c>
      <c r="G154" s="17" t="n">
        <v>45560</v>
      </c>
      <c r="H154" s="18" t="n">
        <v>6353.6</v>
      </c>
      <c r="I154" s="18" t="n">
        <v>113.9</v>
      </c>
    </row>
    <row r="155">
      <c r="B155" s="16" t="inlineStr">
        <is>
          <t>Burgenland</t>
        </is>
      </c>
      <c r="C155" s="16" t="inlineStr">
        <is>
          <t>Güssing</t>
        </is>
      </c>
      <c r="D155" s="16" t="n">
        <v>2025</v>
      </c>
      <c r="E155" s="17" t="n">
        <v>38957</v>
      </c>
      <c r="F155" s="17" t="n">
        <v>16923</v>
      </c>
      <c r="G155" s="17" t="n">
        <v>47832</v>
      </c>
      <c r="H155" s="18" t="n">
        <v>1863.4</v>
      </c>
      <c r="I155" s="18" t="n">
        <v>119.6</v>
      </c>
    </row>
    <row r="156">
      <c r="B156" s="16" t="inlineStr">
        <is>
          <t>Burgenland</t>
        </is>
      </c>
      <c r="C156" s="16" t="inlineStr">
        <is>
          <t>Güssing</t>
        </is>
      </c>
      <c r="D156" s="16" t="n">
        <v>2026</v>
      </c>
      <c r="E156" s="17" t="n">
        <v>107836</v>
      </c>
      <c r="F156" s="17" t="n">
        <v>53472</v>
      </c>
      <c r="G156" s="17" t="n">
        <v>29440</v>
      </c>
      <c r="H156" s="18" t="n">
        <v>3174.7</v>
      </c>
      <c r="I156" s="18" t="n">
        <v>73.59999999999999</v>
      </c>
    </row>
    <row r="157">
      <c r="B157" s="16" t="inlineStr">
        <is>
          <t>Wien</t>
        </is>
      </c>
      <c r="C157" s="16" t="inlineStr">
        <is>
          <t>Innere Stadt</t>
        </is>
      </c>
      <c r="D157" s="16" t="n">
        <v>2024</v>
      </c>
      <c r="E157" s="17" t="n">
        <v>144270</v>
      </c>
      <c r="F157" s="17" t="n">
        <v>56567</v>
      </c>
      <c r="G157" s="17" t="n">
        <v>45825</v>
      </c>
      <c r="H157" s="18" t="n">
        <v>6611.2</v>
      </c>
      <c r="I157" s="18" t="n">
        <v>114.6</v>
      </c>
    </row>
    <row r="158">
      <c r="B158" s="16" t="inlineStr">
        <is>
          <t>Wien</t>
        </is>
      </c>
      <c r="C158" s="16" t="inlineStr">
        <is>
          <t>Innere Stadt</t>
        </is>
      </c>
      <c r="D158" s="16" t="n">
        <v>2025</v>
      </c>
      <c r="E158" s="17" t="n">
        <v>156552</v>
      </c>
      <c r="F158" s="17" t="n">
        <v>75513</v>
      </c>
      <c r="G158" s="17" t="n">
        <v>31054</v>
      </c>
      <c r="H158" s="18" t="n">
        <v>4861.6</v>
      </c>
      <c r="I158" s="18" t="n">
        <v>77.59999999999999</v>
      </c>
    </row>
    <row r="159">
      <c r="B159" s="16" t="inlineStr">
        <is>
          <t>Wien</t>
        </is>
      </c>
      <c r="C159" s="16" t="inlineStr">
        <is>
          <t>Innere Stadt</t>
        </is>
      </c>
      <c r="D159" s="16" t="n">
        <v>2026</v>
      </c>
      <c r="E159" s="17" t="n">
        <v>190138</v>
      </c>
      <c r="F159" s="17" t="n">
        <v>90539</v>
      </c>
      <c r="G159" s="17" t="n">
        <v>45652</v>
      </c>
      <c r="H159" s="18" t="n">
        <v>8680.200000000001</v>
      </c>
      <c r="I159" s="18" t="n">
        <v>114.1</v>
      </c>
    </row>
    <row r="160">
      <c r="B160" s="16" t="inlineStr">
        <is>
          <t>Wien</t>
        </is>
      </c>
      <c r="C160" s="16" t="inlineStr">
        <is>
          <t>Leopoldstadt</t>
        </is>
      </c>
      <c r="D160" s="16" t="n">
        <v>2024</v>
      </c>
      <c r="E160" s="17" t="n">
        <v>129307</v>
      </c>
      <c r="F160" s="17" t="n">
        <v>57514</v>
      </c>
      <c r="G160" s="17" t="n">
        <v>41243</v>
      </c>
      <c r="H160" s="18" t="n">
        <v>5333</v>
      </c>
      <c r="I160" s="18" t="n">
        <v>103.1</v>
      </c>
    </row>
    <row r="161">
      <c r="B161" s="16" t="inlineStr">
        <is>
          <t>Wien</t>
        </is>
      </c>
      <c r="C161" s="16" t="inlineStr">
        <is>
          <t>Leopoldstadt</t>
        </is>
      </c>
      <c r="D161" s="16" t="n">
        <v>2025</v>
      </c>
      <c r="E161" s="17" t="n">
        <v>79572</v>
      </c>
      <c r="F161" s="17" t="n">
        <v>37048</v>
      </c>
      <c r="G161" s="17" t="n">
        <v>44155</v>
      </c>
      <c r="H161" s="18" t="n">
        <v>3513.5</v>
      </c>
      <c r="I161" s="18" t="n">
        <v>110.4</v>
      </c>
    </row>
    <row r="162">
      <c r="B162" s="16" t="inlineStr">
        <is>
          <t>Wien</t>
        </is>
      </c>
      <c r="C162" s="16" t="inlineStr">
        <is>
          <t>Leopoldstadt</t>
        </is>
      </c>
      <c r="D162" s="16" t="n">
        <v>2026</v>
      </c>
      <c r="E162" s="17" t="n">
        <v>42283</v>
      </c>
      <c r="F162" s="17" t="n">
        <v>19186</v>
      </c>
      <c r="G162" s="17" t="n">
        <v>43615</v>
      </c>
      <c r="H162" s="18" t="n">
        <v>1844.2</v>
      </c>
      <c r="I162" s="18" t="n">
        <v>109</v>
      </c>
    </row>
    <row r="163">
      <c r="B163" s="16" t="inlineStr">
        <is>
          <t>Wien</t>
        </is>
      </c>
      <c r="C163" s="16" t="inlineStr">
        <is>
          <t>Landstraße</t>
        </is>
      </c>
      <c r="D163" s="16" t="n">
        <v>2024</v>
      </c>
      <c r="E163" s="17" t="n">
        <v>146620</v>
      </c>
      <c r="F163" s="17" t="n">
        <v>66939</v>
      </c>
      <c r="G163" s="17" t="n">
        <v>34273</v>
      </c>
      <c r="H163" s="18" t="n">
        <v>5025.1</v>
      </c>
      <c r="I163" s="18" t="n">
        <v>85.7</v>
      </c>
    </row>
    <row r="164">
      <c r="B164" s="16" t="inlineStr">
        <is>
          <t>Wien</t>
        </is>
      </c>
      <c r="C164" s="16" t="inlineStr">
        <is>
          <t>Landstraße</t>
        </is>
      </c>
      <c r="D164" s="16" t="n">
        <v>2025</v>
      </c>
      <c r="E164" s="17" t="n">
        <v>118979</v>
      </c>
      <c r="F164" s="17" t="n">
        <v>50186</v>
      </c>
      <c r="G164" s="17" t="n">
        <v>36526</v>
      </c>
      <c r="H164" s="18" t="n">
        <v>4345.8</v>
      </c>
      <c r="I164" s="18" t="n">
        <v>91.3</v>
      </c>
    </row>
    <row r="165">
      <c r="B165" s="16" t="inlineStr">
        <is>
          <t>Wien</t>
        </is>
      </c>
      <c r="C165" s="16" t="inlineStr">
        <is>
          <t>Landstraße</t>
        </is>
      </c>
      <c r="D165" s="16" t="n">
        <v>2026</v>
      </c>
      <c r="E165" s="17" t="n">
        <v>42937</v>
      </c>
      <c r="F165" s="17" t="n">
        <v>17733</v>
      </c>
      <c r="G165" s="17" t="n">
        <v>28746</v>
      </c>
      <c r="H165" s="18" t="n">
        <v>1234.3</v>
      </c>
      <c r="I165" s="18" t="n">
        <v>71.90000000000001</v>
      </c>
    </row>
    <row r="166">
      <c r="B166" s="16" t="inlineStr">
        <is>
          <t>Wien</t>
        </is>
      </c>
      <c r="C166" s="16" t="inlineStr">
        <is>
          <t>Favoriten</t>
        </is>
      </c>
      <c r="D166" s="16" t="n">
        <v>2024</v>
      </c>
      <c r="E166" s="17" t="n">
        <v>18338</v>
      </c>
      <c r="F166" s="17" t="n">
        <v>8664</v>
      </c>
      <c r="G166" s="17" t="n">
        <v>35446</v>
      </c>
      <c r="H166" s="18" t="n">
        <v>650</v>
      </c>
      <c r="I166" s="18" t="n">
        <v>88.59999999999999</v>
      </c>
    </row>
    <row r="167">
      <c r="B167" s="16" t="inlineStr">
        <is>
          <t>Wien</t>
        </is>
      </c>
      <c r="C167" s="16" t="inlineStr">
        <is>
          <t>Favoriten</t>
        </is>
      </c>
      <c r="D167" s="16" t="n">
        <v>2025</v>
      </c>
      <c r="E167" s="17" t="n">
        <v>12101</v>
      </c>
      <c r="F167" s="17" t="n">
        <v>5016</v>
      </c>
      <c r="G167" s="17" t="n">
        <v>38553</v>
      </c>
      <c r="H167" s="18" t="n">
        <v>466.5</v>
      </c>
      <c r="I167" s="18" t="n">
        <v>96.40000000000001</v>
      </c>
    </row>
    <row r="168">
      <c r="B168" s="16" t="inlineStr">
        <is>
          <t>Wien</t>
        </is>
      </c>
      <c r="C168" s="16" t="inlineStr">
        <is>
          <t>Favoriten</t>
        </is>
      </c>
      <c r="D168" s="16" t="n">
        <v>2026</v>
      </c>
      <c r="E168" s="17" t="n">
        <v>198688</v>
      </c>
      <c r="F168" s="17" t="n">
        <v>89773</v>
      </c>
      <c r="G168" s="17" t="n">
        <v>48308</v>
      </c>
      <c r="H168" s="18" t="n">
        <v>9598.200000000001</v>
      </c>
      <c r="I168" s="18" t="n">
        <v>120.8</v>
      </c>
    </row>
    <row r="169">
      <c r="B169" s="16" t="inlineStr">
        <is>
          <t>Wien</t>
        </is>
      </c>
      <c r="C169" s="16" t="inlineStr">
        <is>
          <t>Simmering</t>
        </is>
      </c>
      <c r="D169" s="16" t="n">
        <v>2024</v>
      </c>
      <c r="E169" s="17" t="n">
        <v>139763</v>
      </c>
      <c r="F169" s="17" t="n">
        <v>67749</v>
      </c>
      <c r="G169" s="17" t="n">
        <v>51949</v>
      </c>
      <c r="H169" s="18" t="n">
        <v>7260.5</v>
      </c>
      <c r="I169" s="18" t="n">
        <v>129.9</v>
      </c>
    </row>
    <row r="170">
      <c r="B170" s="16" t="inlineStr">
        <is>
          <t>Wien</t>
        </is>
      </c>
      <c r="C170" s="16" t="inlineStr">
        <is>
          <t>Simmering</t>
        </is>
      </c>
      <c r="D170" s="16" t="n">
        <v>2025</v>
      </c>
      <c r="E170" s="17" t="n">
        <v>161629</v>
      </c>
      <c r="F170" s="17" t="n">
        <v>77943</v>
      </c>
      <c r="G170" s="17" t="n">
        <v>44727</v>
      </c>
      <c r="H170" s="18" t="n">
        <v>7229.2</v>
      </c>
      <c r="I170" s="18" t="n">
        <v>111.8</v>
      </c>
    </row>
    <row r="171">
      <c r="B171" s="16" t="inlineStr">
        <is>
          <t>Wien</t>
        </is>
      </c>
      <c r="C171" s="16" t="inlineStr">
        <is>
          <t>Simmering</t>
        </is>
      </c>
      <c r="D171" s="16" t="n">
        <v>2026</v>
      </c>
      <c r="E171" s="17" t="n">
        <v>172453</v>
      </c>
      <c r="F171" s="17" t="n">
        <v>80198</v>
      </c>
      <c r="G171" s="17" t="n">
        <v>34479</v>
      </c>
      <c r="H171" s="18" t="n">
        <v>5946</v>
      </c>
      <c r="I171" s="18" t="n">
        <v>86.2</v>
      </c>
    </row>
    <row r="172">
      <c r="B172" s="16" t="inlineStr">
        <is>
          <t>Wien</t>
        </is>
      </c>
      <c r="C172" s="16" t="inlineStr">
        <is>
          <t>Döbling</t>
        </is>
      </c>
      <c r="D172" s="16" t="n">
        <v>2024</v>
      </c>
      <c r="E172" s="17" t="n">
        <v>192859</v>
      </c>
      <c r="F172" s="17" t="n">
        <v>83193</v>
      </c>
      <c r="G172" s="17" t="n">
        <v>42312</v>
      </c>
      <c r="H172" s="18" t="n">
        <v>8160.3</v>
      </c>
      <c r="I172" s="18" t="n">
        <v>105.8</v>
      </c>
    </row>
    <row r="173">
      <c r="B173" s="16" t="inlineStr">
        <is>
          <t>Wien</t>
        </is>
      </c>
      <c r="C173" s="16" t="inlineStr">
        <is>
          <t>Döbling</t>
        </is>
      </c>
      <c r="D173" s="16" t="n">
        <v>2025</v>
      </c>
      <c r="E173" s="17" t="n">
        <v>15094</v>
      </c>
      <c r="F173" s="17" t="n">
        <v>6782</v>
      </c>
      <c r="G173" s="17" t="n">
        <v>41546</v>
      </c>
      <c r="H173" s="18" t="n">
        <v>627.1</v>
      </c>
      <c r="I173" s="18" t="n">
        <v>103.9</v>
      </c>
    </row>
    <row r="174">
      <c r="B174" s="16" t="inlineStr">
        <is>
          <t>Wien</t>
        </is>
      </c>
      <c r="C174" s="16" t="inlineStr">
        <is>
          <t>Döbling</t>
        </is>
      </c>
      <c r="D174" s="16" t="n">
        <v>2026</v>
      </c>
      <c r="E174" s="17" t="n">
        <v>147765</v>
      </c>
      <c r="F174" s="17" t="n">
        <v>62361</v>
      </c>
      <c r="G174" s="17" t="n">
        <v>45635</v>
      </c>
      <c r="H174" s="18" t="n">
        <v>6743.3</v>
      </c>
      <c r="I174" s="18" t="n">
        <v>114.1</v>
      </c>
    </row>
    <row r="175">
      <c r="B175" s="16" t="inlineStr">
        <is>
          <t>Wien</t>
        </is>
      </c>
      <c r="C175" s="16" t="inlineStr">
        <is>
          <t>Floridsdorf</t>
        </is>
      </c>
      <c r="D175" s="16" t="n">
        <v>2024</v>
      </c>
      <c r="E175" s="17" t="n">
        <v>62547</v>
      </c>
      <c r="F175" s="17" t="n">
        <v>24836</v>
      </c>
      <c r="G175" s="17" t="n">
        <v>45498</v>
      </c>
      <c r="H175" s="18" t="n">
        <v>2845.8</v>
      </c>
      <c r="I175" s="18" t="n">
        <v>113.7</v>
      </c>
    </row>
    <row r="176">
      <c r="B176" s="16" t="inlineStr">
        <is>
          <t>Wien</t>
        </is>
      </c>
      <c r="C176" s="16" t="inlineStr">
        <is>
          <t>Floridsdorf</t>
        </is>
      </c>
      <c r="D176" s="16" t="n">
        <v>2025</v>
      </c>
      <c r="E176" s="17" t="n">
        <v>176370</v>
      </c>
      <c r="F176" s="17" t="n">
        <v>82763</v>
      </c>
      <c r="G176" s="17" t="n">
        <v>35083</v>
      </c>
      <c r="H176" s="18" t="n">
        <v>6187.6</v>
      </c>
      <c r="I176" s="18" t="n">
        <v>87.7</v>
      </c>
    </row>
    <row r="177">
      <c r="B177" s="16" t="inlineStr">
        <is>
          <t>Wien</t>
        </is>
      </c>
      <c r="C177" s="16" t="inlineStr">
        <is>
          <t>Floridsdorf</t>
        </is>
      </c>
      <c r="D177" s="16" t="n">
        <v>2026</v>
      </c>
      <c r="E177" s="17" t="n">
        <v>151328</v>
      </c>
      <c r="F177" s="17" t="n">
        <v>63931</v>
      </c>
      <c r="G177" s="17" t="n">
        <v>32471</v>
      </c>
      <c r="H177" s="18" t="n">
        <v>4913.8</v>
      </c>
      <c r="I177" s="18" t="n">
        <v>81.2</v>
      </c>
    </row>
    <row r="178">
      <c r="B178" s="16" t="inlineStr">
        <is>
          <t>Wien</t>
        </is>
      </c>
      <c r="C178" s="16" t="inlineStr">
        <is>
          <t>Donaustadt</t>
        </is>
      </c>
      <c r="D178" s="16" t="n">
        <v>2024</v>
      </c>
      <c r="E178" s="17" t="n">
        <v>69990</v>
      </c>
      <c r="F178" s="17" t="n">
        <v>27458</v>
      </c>
      <c r="G178" s="17" t="n">
        <v>48574</v>
      </c>
      <c r="H178" s="18" t="n">
        <v>3399.7</v>
      </c>
      <c r="I178" s="18" t="n">
        <v>121.4</v>
      </c>
    </row>
    <row r="179">
      <c r="B179" s="16" t="inlineStr">
        <is>
          <t>Wien</t>
        </is>
      </c>
      <c r="C179" s="16" t="inlineStr">
        <is>
          <t>Donaustadt</t>
        </is>
      </c>
      <c r="D179" s="16" t="n">
        <v>2025</v>
      </c>
      <c r="E179" s="17" t="n">
        <v>100120</v>
      </c>
      <c r="F179" s="17" t="n">
        <v>39392</v>
      </c>
      <c r="G179" s="17" t="n">
        <v>38350</v>
      </c>
      <c r="H179" s="18" t="n">
        <v>3839.6</v>
      </c>
      <c r="I179" s="18" t="n">
        <v>95.90000000000001</v>
      </c>
    </row>
    <row r="180">
      <c r="B180" s="16" t="inlineStr">
        <is>
          <t>Wien</t>
        </is>
      </c>
      <c r="C180" s="16" t="inlineStr">
        <is>
          <t>Donaustadt</t>
        </is>
      </c>
      <c r="D180" s="16" t="n">
        <v>2026</v>
      </c>
      <c r="E180" s="17" t="n">
        <v>167106</v>
      </c>
      <c r="F180" s="17" t="n">
        <v>76339</v>
      </c>
      <c r="G180" s="17" t="n">
        <v>34379</v>
      </c>
      <c r="H180" s="18" t="n">
        <v>5744.9</v>
      </c>
      <c r="I180" s="18" t="n">
        <v>85.90000000000001</v>
      </c>
    </row>
    <row r="181">
      <c r="B181" s="16" t="inlineStr">
        <is>
          <t>Wien</t>
        </is>
      </c>
      <c r="C181" s="16" t="inlineStr">
        <is>
          <t>Liesing</t>
        </is>
      </c>
      <c r="D181" s="16" t="n">
        <v>2024</v>
      </c>
      <c r="E181" s="17" t="n">
        <v>66185</v>
      </c>
      <c r="F181" s="17" t="n">
        <v>26828</v>
      </c>
      <c r="G181" s="17" t="n">
        <v>34374</v>
      </c>
      <c r="H181" s="18" t="n">
        <v>2275</v>
      </c>
      <c r="I181" s="18" t="n">
        <v>85.90000000000001</v>
      </c>
    </row>
    <row r="182">
      <c r="B182" s="16" t="inlineStr">
        <is>
          <t>Wien</t>
        </is>
      </c>
      <c r="C182" s="16" t="inlineStr">
        <is>
          <t>Liesing</t>
        </is>
      </c>
      <c r="D182" s="16" t="n">
        <v>2025</v>
      </c>
      <c r="E182" s="17" t="n">
        <v>34391</v>
      </c>
      <c r="F182" s="17" t="n">
        <v>16531</v>
      </c>
      <c r="G182" s="17" t="n">
        <v>35842</v>
      </c>
      <c r="H182" s="18" t="n">
        <v>1232.6</v>
      </c>
      <c r="I182" s="18" t="n">
        <v>89.59999999999999</v>
      </c>
    </row>
    <row r="183">
      <c r="B183" s="16" t="inlineStr">
        <is>
          <t>Wien</t>
        </is>
      </c>
      <c r="C183" s="16" t="inlineStr">
        <is>
          <t>Liesing</t>
        </is>
      </c>
      <c r="D183" s="16" t="n">
        <v>2026</v>
      </c>
      <c r="E183" s="17" t="n">
        <v>43744</v>
      </c>
      <c r="F183" s="17" t="n">
        <v>17957</v>
      </c>
      <c r="G183" s="17" t="n">
        <v>36503</v>
      </c>
      <c r="H183" s="18" t="n">
        <v>1596.8</v>
      </c>
      <c r="I183" s="18" t="n">
        <v>91.3</v>
      </c>
    </row>
  </sheetData>
  <autoFilter ref="B3:I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1:D17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0" customWidth="1" min="3" max="3"/>
    <col width="20" customWidth="1" min="4" max="4"/>
  </cols>
  <sheetData>
    <row r="1" ht="22" customHeight="1">
      <c r="B1" s="1" t="inlineStr">
        <is>
          <t>1  Design und Erscheinungsbild</t>
        </is>
      </c>
    </row>
    <row r="2">
      <c r="B2" s="15" t="inlineStr">
        <is>
          <t>Kapitel: Arbeitsmappen finalisieren - Design</t>
        </is>
      </c>
    </row>
    <row r="4" ht="45" customHeight="1">
      <c r="B4" s="19" t="inlineStr">
        <is>
          <t>Aufgabe 1:  Wechsle unter Seitenlayout - Designs das Design der gesamten Arbeitsmappe und beobachte, wie sich Farben und Schriften auf allen Blättern gleichzeitig ändern.</t>
        </is>
      </c>
    </row>
    <row r="5" ht="28" customHeight="1">
      <c r="B5" s="14" t="inlineStr">
        <is>
          <t>Tipp: Ein Design besteht aus drei Teilen: Farben, Schriftarten und Effekte - jeder Teil lässt sich einzeln wechseln.</t>
        </is>
      </c>
    </row>
    <row r="6" ht="30" customHeight="1">
      <c r="B6" s="19" t="inlineStr">
        <is>
          <t>Aufgabe 2:  Stelle nur die Designfarben auf eine andere Palette um, ohne das Design zu wechseln.</t>
        </is>
      </c>
    </row>
    <row r="7" ht="14" customHeight="1">
      <c r="B7" s="14" t="inlineStr">
        <is>
          <t>Tipp: Seitenlayout - Designs - Farben.</t>
        </is>
      </c>
    </row>
    <row r="8" ht="45" customHeight="1">
      <c r="B8" s="19" t="inlineStr">
        <is>
          <t>Aufgabe 3:  Lege eine eigene Farbpalette an: Seitenlayout - Farben - Farben anpassen. Ändere Akzent 1 auf ein kräftiges Grün und speichere die Palette unter deinem Namen.</t>
        </is>
      </c>
    </row>
    <row r="9" ht="15" customHeight="1">
      <c r="B9" s="19" t="inlineStr">
        <is>
          <t>Aufgabe 4:  Speichere das aktuelle Erscheinungsbild als eigenes Design ab.</t>
        </is>
      </c>
    </row>
    <row r="10" ht="42" customHeight="1">
      <c r="B10" s="14" t="inlineStr">
        <is>
          <t>Tipp: Seitenlayout - Designs - Aktuelles Design speichern. Danach steht es in jeder neuen Arbeitsmappe zur Verfügung - so setzt man ein Corporate Design um.</t>
        </is>
      </c>
    </row>
    <row r="12" ht="42" customHeight="1">
      <c r="B12" s="2" t="inlineStr">
        <is>
          <t>Wichtig für den Unterschied: Die folgenden Zellen sind einmal mit einer DESIGNFARBE und einmal mit einer festen STANDARDFARBE gefüllt. Wechsle das Design - nur eine der beiden ändert sich mit.</t>
        </is>
      </c>
    </row>
    <row r="14">
      <c r="C14" s="20" t="inlineStr">
        <is>
          <t>Designfarbe</t>
        </is>
      </c>
      <c r="D14" s="9" t="inlineStr">
        <is>
          <t>feste Farbe</t>
        </is>
      </c>
    </row>
    <row r="16" ht="15" customHeight="1">
      <c r="B16" s="19" t="inlineStr">
        <is>
          <t>Aufgabe 5:  Blende auf diesem Blatt die Gitternetzlinien aus und wieder ein.</t>
        </is>
      </c>
    </row>
    <row r="17" ht="42" customHeight="1">
      <c r="B17" s="14" t="inlineStr">
        <is>
          <t>Tipp: Ansicht - Anzeigen - Gitternetzlinien. Beim Ausdruck erscheinen sie ohnehin nie - es sei denn, du aktivierst Seitenlayout - Blattoptionen - Gitternetzlinien - Drucken.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B1:D2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2" customWidth="1" min="3" max="3"/>
    <col width="44" customWidth="1" min="4" max="4"/>
  </cols>
  <sheetData>
    <row r="1" ht="22" customHeight="1">
      <c r="B1" s="1" t="inlineStr">
        <is>
          <t>2  Ausdruck vorbereiten</t>
        </is>
      </c>
    </row>
    <row r="2">
      <c r="B2" s="15" t="inlineStr">
        <is>
          <t>Kapitel: Ansichten / Seite einrichten</t>
        </is>
      </c>
    </row>
    <row r="4" ht="42" customHeight="1">
      <c r="B4" s="2" t="inlineStr">
        <is>
          <t>Alle Aufgaben beziehen sich auf das Blatt "Daten" (180 Datenzeilen, Zeilen 4 bis 183). Wechsle dorthin und arbeite die Punkte ab. Mit STRG + P siehst du jederzeit, wie der Ausdruck aussieht.</t>
        </is>
      </c>
    </row>
    <row r="6">
      <c r="B6" s="11" t="inlineStr">
        <is>
          <t>Schritt</t>
        </is>
      </c>
      <c r="C6" s="11" t="inlineStr">
        <is>
          <t>Weg im Menüband</t>
        </is>
      </c>
    </row>
    <row r="7" ht="28" customHeight="1">
      <c r="B7" s="13" t="inlineStr">
        <is>
          <t>Wechsle auf dem Blatt Daten in die Ansicht Umbruchvorschau und sieh dir an, wie viele Seiten der Ausdruck aktuell hätte.</t>
        </is>
      </c>
      <c r="C7" s="21" t="inlineStr">
        <is>
          <t>Ansicht - Arbeitsmappenansichten - Umbruchvorschau</t>
        </is>
      </c>
      <c r="D7" s="22" t="n"/>
    </row>
    <row r="8" ht="28" customHeight="1">
      <c r="B8" s="13" t="inlineStr">
        <is>
          <t>Wechsle in die Ansicht Seitenlayout - dort siehst du Seitenränder, Kopf- und Fußzeile so, wie sie gedruckt werden.</t>
        </is>
      </c>
      <c r="C8" s="21" t="inlineStr">
        <is>
          <t>Ansicht - Seitenlayout</t>
        </is>
      </c>
      <c r="D8" s="22" t="n"/>
    </row>
    <row r="9" ht="28" customHeight="1">
      <c r="B9" s="13" t="inlineStr">
        <is>
          <t>Stelle die Ausrichtung auf Querformat und die Seitenränder auf Schmal.</t>
        </is>
      </c>
      <c r="C9" s="21" t="inlineStr">
        <is>
          <t>Seitenlayout - Ausrichtung / Seitenränder</t>
        </is>
      </c>
      <c r="D9" s="22" t="n"/>
    </row>
    <row r="10" ht="28" customHeight="1">
      <c r="B10" s="13" t="inlineStr">
        <is>
          <t>Sorge dafür, dass alle Spalten auf EINE Seite passen - die Zeilen dürfen weiterhin auf mehrere Seiten verteilt sein.</t>
        </is>
      </c>
      <c r="C10" s="21" t="inlineStr">
        <is>
          <t>Seitenlayout - Skalieren - Breite: 1 Seite, Höhe: Automatisch</t>
        </is>
      </c>
      <c r="D10" s="22" t="n"/>
    </row>
    <row r="11" ht="28" customHeight="1">
      <c r="B11" s="13" t="inlineStr">
        <is>
          <t>Lege die Kopfzeile als Wiederholungszeile fest, damit sie auf jeder Seite erscheint.</t>
        </is>
      </c>
      <c r="C11" s="21" t="inlineStr">
        <is>
          <t>Seitenlayout - Drucktitel - Wiederholungszeilen oben: $3:$3</t>
        </is>
      </c>
      <c r="D11" s="22" t="n"/>
    </row>
    <row r="12" ht="28" customHeight="1">
      <c r="B12" s="13" t="inlineStr">
        <is>
          <t>Füge eine Kopfzeile mit dem Titel Regionalauswertung und eine Fußzeile mit Seite X von Y ein.</t>
        </is>
      </c>
      <c r="C12" s="21" t="inlineStr">
        <is>
          <t>Seitenlayout - Drucktitel - Register Kopfzeile/Fußzeile - Benutzerdefiniert</t>
        </is>
      </c>
      <c r="D12" s="22" t="n"/>
    </row>
    <row r="13" ht="42" customHeight="1">
      <c r="B13" s="13" t="inlineStr">
        <is>
          <t>Setze einen eigenen Seitenumbruch, sodass jedes Bundesland auf einer neuen Seite beginnt (mach das für die ersten zwei Bundesländer).</t>
        </is>
      </c>
      <c r="C13" s="21" t="inlineStr">
        <is>
          <t>Zeile markieren - Seitenlayout - Umbrüche - Seitenumbruch einfügen</t>
        </is>
      </c>
      <c r="D13" s="22" t="n"/>
    </row>
    <row r="14" ht="28" customHeight="1">
      <c r="B14" s="13" t="inlineStr">
        <is>
          <t>Lege einen Druckbereich fest, der nur die ersten 40 Datenzeilen umfasst - und hebe ihn danach wieder auf.</t>
        </is>
      </c>
      <c r="C14" s="21" t="inlineStr">
        <is>
          <t>Bereich markieren - Seitenlayout - Druckbereich - Druckbereich festlegen / aufheben</t>
        </is>
      </c>
      <c r="D14" s="22" t="n"/>
    </row>
    <row r="15" ht="28" customHeight="1">
      <c r="B15" s="13" t="inlineStr">
        <is>
          <t>Aktiviere zusätzlich den Druck der Zeilen- und Spaltenüberschriften.</t>
        </is>
      </c>
      <c r="C15" s="21" t="inlineStr">
        <is>
          <t>Seitenlayout - Blattoptionen - Überschriften - Drucken</t>
        </is>
      </c>
      <c r="D15" s="22" t="n"/>
    </row>
    <row r="16" ht="28" customHeight="1">
      <c r="B16" s="13" t="inlineStr">
        <is>
          <t>Speichere das Ergebnis mit STRG + P als PDF und sieh es dir an.</t>
        </is>
      </c>
      <c r="C16" s="21" t="inlineStr">
        <is>
          <t>Datei - Exportieren - PDF/XPS-Dokument erstellen</t>
        </is>
      </c>
      <c r="D16" s="22" t="n"/>
    </row>
    <row r="18">
      <c r="B18" s="11" t="inlineStr">
        <is>
          <t>Verständnisfrage</t>
        </is>
      </c>
      <c r="C18" s="11" t="inlineStr">
        <is>
          <t>dein Ergebnis</t>
        </is>
      </c>
      <c r="D18" s="11" t="inlineStr">
        <is>
          <t>Kontrolle</t>
        </is>
      </c>
    </row>
    <row r="19">
      <c r="B19" s="16" t="inlineStr">
        <is>
          <t>Wie viele Datenzeilen hat das Blatt Daten?</t>
        </is>
      </c>
      <c r="C19" s="23" t="n"/>
      <c r="D19" s="24">
        <f>IF(C19="","Kontrolle",IF(AND(_xlfn.ISFORMULA(C19),C19=180),"OK - richtig",IF(C19=180,"Ergebnis stimmt - bitte als Formel eingeben!","noch nicht richtig")))</f>
        <v/>
      </c>
    </row>
    <row r="20">
      <c r="B20" s="16" t="inlineStr">
        <is>
          <t>Wie viele verschiedene Bundesländer kommen vor?</t>
        </is>
      </c>
      <c r="C20" s="23" t="n"/>
      <c r="D20" s="24">
        <f>IF(C20="","Kontrolle",IF(AND(_xlfn.ISFORMULA(C20),C20=9),"OK - richtig",IF(C20=9,"Ergebnis stimmt - bitte als Formel eingeben!","noch nicht richtig")))</f>
        <v/>
      </c>
    </row>
  </sheetData>
  <mergeCells count="10">
    <mergeCell ref="C12:D12"/>
    <mergeCell ref="C10:D10"/>
    <mergeCell ref="C7:D7"/>
    <mergeCell ref="C16:D16"/>
    <mergeCell ref="C15:D15"/>
    <mergeCell ref="C11:D11"/>
    <mergeCell ref="C14:D14"/>
    <mergeCell ref="C13:D13"/>
    <mergeCell ref="C9:D9"/>
    <mergeCell ref="C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B1:C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4" customWidth="1" min="3" max="3"/>
    <col width="24" customWidth="1" min="4" max="4"/>
  </cols>
  <sheetData>
    <row r="1" ht="22" customHeight="1">
      <c r="B1" s="1" t="inlineStr">
        <is>
          <t>3  Kommentare und Notizen</t>
        </is>
      </c>
    </row>
    <row r="2">
      <c r="B2" s="15" t="inlineStr">
        <is>
          <t>Kapitel: Kommentare</t>
        </is>
      </c>
    </row>
    <row r="4" ht="42" customHeight="1">
      <c r="B4" s="2" t="inlineStr">
        <is>
          <t>Kommentare sind Unterhaltungen mit Antwortmöglichkeit - gedacht als ToDos, die man nach Erledigung löst. Notizen sind gelbe Haftzettel für dauerhafte Hinweise. In der Zelle unten liegt bereits eine Notiz.</t>
        </is>
      </c>
    </row>
    <row r="6">
      <c r="C6" s="25" t="inlineStr">
        <is>
          <t>Zelle mit Notiz</t>
        </is>
      </c>
    </row>
    <row r="8" ht="30" customHeight="1">
      <c r="B8" s="19" t="inlineStr">
        <is>
          <t>Aufgabe 1:  Füge in der gelben Zelle einen KOMMENTAR ein und antworte dir selbst darauf.</t>
        </is>
      </c>
    </row>
    <row r="9" ht="14" customHeight="1">
      <c r="B9" s="14" t="inlineStr">
        <is>
          <t>Tipp: Überprüfen - Kommentare - Neuer Kommentar (oder STRG + SHIFT + F2).</t>
        </is>
      </c>
    </row>
    <row r="10">
      <c r="C10" s="4" t="n"/>
    </row>
    <row r="12" ht="30" customHeight="1">
      <c r="B12" s="19" t="inlineStr">
        <is>
          <t>Aufgabe 2:  Füge in der zweiten gelben Zelle eine NOTIZ ein und formatiere sie (Schriftgröße, Hintergrund).</t>
        </is>
      </c>
    </row>
    <row r="13" ht="28" customHeight="1">
      <c r="B13" s="14" t="inlineStr">
        <is>
          <t>Tipp: Rechtsklick auf die Zelle - Neue Notiz. Rechtsklick auf den Rahmen der Notiz - Kommentar formatieren.</t>
        </is>
      </c>
    </row>
    <row r="14">
      <c r="C14" s="4" t="n"/>
    </row>
    <row r="16" ht="15" customHeight="1">
      <c r="B16" s="19" t="inlineStr">
        <is>
          <t>Aufgabe 3:  Blende alle Kommentare gleichzeitig ein und wieder aus.</t>
        </is>
      </c>
    </row>
    <row r="17" ht="28" customHeight="1">
      <c r="B17" s="14" t="inlineStr">
        <is>
          <t>Tipp: Überprüfen - Kommentare - Kommentare anzeigen bzw. Notizen - Alle Notizen anzeigen.</t>
        </is>
      </c>
    </row>
    <row r="18" ht="15" customHeight="1">
      <c r="B18" s="19" t="inlineStr">
        <is>
          <t>Aufgabe 4:  Springe mit Vorheriger und Nächster durch alle Kommentare der Mappe.</t>
        </is>
      </c>
    </row>
    <row r="19" ht="30" customHeight="1">
      <c r="B19" s="19" t="inlineStr">
        <is>
          <t>Aufgabe 5:  Löse deinen Kommentar aus Aufgabe 1 auf (Häkchen Thread auflösen) und lösche ihn anschließend ganz.</t>
        </is>
      </c>
    </row>
    <row r="20" ht="15" customHeight="1">
      <c r="B20" s="19" t="inlineStr">
        <is>
          <t>Aufgabe 6:  Sorge dafür, dass die Notiz beim Ausdruck mit ausgegeben wird.</t>
        </is>
      </c>
    </row>
    <row r="21" ht="28" customHeight="1">
      <c r="B21" s="14" t="inlineStr">
        <is>
          <t>Tipp: Seitenlayout - Drucktitel - Register Blatt - Kommentare und Notizen: Wie auf dem Blatt angezeigt bzw. Am Ende des Blatts.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B1:C2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0" customWidth="1" min="3" max="3"/>
    <col width="20" customWidth="1" min="4" max="4"/>
    <col width="44" customWidth="1" min="5" max="5"/>
  </cols>
  <sheetData>
    <row r="1" ht="22" customHeight="1">
      <c r="B1" s="1" t="inlineStr">
        <is>
          <t>4  Zellen, Blätter und Dateien schützen</t>
        </is>
      </c>
    </row>
    <row r="2">
      <c r="B2" s="15" t="inlineStr">
        <is>
          <t>Kapitel: Arbeitsblätter und -mappen schützen</t>
        </is>
      </c>
    </row>
    <row r="4" ht="56" customHeight="1">
      <c r="B4" s="2" t="inlineStr">
        <is>
          <t>Der wichtigste Punkt zuerst: JEDE Zelle ist standardmäßig als Gesperrt markiert - wirksam wird das aber erst, wenn das Blatt geschützt ist. Man entsperrt also zuerst die Eingabezellen und schützt dann das Blatt.</t>
        </is>
      </c>
    </row>
    <row r="6" ht="30" customHeight="1">
      <c r="B6" s="19" t="inlineStr">
        <is>
          <t>Aufgabe 1:  Baue ein einfaches Formular: Entsperre die drei gelben Zellen und schütze anschließend dieses Arbeitsblatt (ohne Kennwort).</t>
        </is>
      </c>
    </row>
    <row r="7" ht="28" customHeight="1">
      <c r="B7" s="14" t="inlineStr">
        <is>
          <t>Tipp: Zellen markieren - Rechtsklick - Zellen formatieren - Schutz - Haken bei Gesperrt entfernen. Danach Überprüfen - Blatt schützen.</t>
        </is>
      </c>
    </row>
    <row r="8">
      <c r="B8" s="16" t="inlineStr">
        <is>
          <t>Name</t>
        </is>
      </c>
      <c r="C8" s="26" t="n"/>
    </row>
    <row r="9">
      <c r="B9" s="16" t="inlineStr">
        <is>
          <t>Abteilung</t>
        </is>
      </c>
      <c r="C9" s="26" t="n"/>
    </row>
    <row r="10">
      <c r="B10" s="16" t="inlineStr">
        <is>
          <t>Kostenstelle</t>
        </is>
      </c>
      <c r="C10" s="26" t="n"/>
    </row>
    <row r="12" ht="45" customHeight="1">
      <c r="B12" s="19" t="inlineStr">
        <is>
          <t>Aufgabe 2:  Teste dein Formular: Springe mit TAB von Feld zu Feld - der Cursor landet nur noch in den entsperrten Zellen. Versuche, eine andere Zelle zu beschreiben - das muss blockiert sein.</t>
        </is>
      </c>
    </row>
    <row r="13" ht="28" customHeight="1">
      <c r="B13" s="14" t="inlineStr">
        <is>
          <t>Tipp: Genau so entstehen in der Praxis Eingabeformulare. Sieh dir das fertige Beispiel auf dem Blatt "Muster Formular" an.</t>
        </is>
      </c>
    </row>
    <row r="14" ht="45" customHeight="1">
      <c r="B14" s="19" t="inlineStr">
        <is>
          <t>Aufgabe 3:  Hebe den Blattschutz wieder auf und schütze das Blatt erneut - diesmal MIT Kennwort. Erlaube dem Nutzer dabei zusätzlich das Formatieren von Zellen.</t>
        </is>
      </c>
    </row>
    <row r="15" ht="28" customHeight="1">
      <c r="B15" s="14" t="inlineStr">
        <is>
          <t>Tipp: Überprüfen - Blatt schützen - Optionen in der Liste anhaken. Merke dir das Kennwort - Excel kann es nicht wiederherstellen.</t>
        </is>
      </c>
    </row>
    <row r="16" ht="30" customHeight="1">
      <c r="B16" s="19" t="inlineStr">
        <is>
          <t>Aufgabe 4:  Schütze die STRUKTUR der Arbeitsmappe. Versuche danach, ein Blatt hinzuzufügen, umzubenennen oder zu löschen.</t>
        </is>
      </c>
    </row>
    <row r="17" ht="28" customHeight="1">
      <c r="B17" s="14" t="inlineStr">
        <is>
          <t>Tipp: Überprüfen - Arbeitsmappe schützen. Das schützt nicht die Inhalte, sondern nur die Blattstruktur.</t>
        </is>
      </c>
    </row>
    <row r="18" ht="30" customHeight="1">
      <c r="B18" s="19" t="inlineStr">
        <is>
          <t>Aufgabe 5:  Vergib zum Schluss ein Kennwort für die gesamte Datei - und entferne es danach wieder.</t>
        </is>
      </c>
    </row>
    <row r="19" ht="42" customHeight="1">
      <c r="B19" s="14" t="inlineStr">
        <is>
          <t>Tipp: Datei - Speichern unter - Mehr Optionen - Tools - Allgemeine Optionen - Kennwort zum Öffnen bzw. zum Ändern. Zum Entfernen dort das Feld wieder leeren.</t>
        </is>
      </c>
    </row>
    <row r="20" ht="30" customHeight="1">
      <c r="B20" s="19" t="inlineStr">
        <is>
          <t>Aufgabe 6:  Sieh dir denselben Weg über Datei - Informationen - Arbeitsmappe schützen an - dort findest du zusätzlich Als abgeschlossen kennzeichnen.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B1:C1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0" customWidth="1" min="3" max="3"/>
  </cols>
  <sheetData>
    <row r="1" ht="22" customHeight="1">
      <c r="B1" s="1" t="inlineStr">
        <is>
          <t>Muster: geschütztes Formular</t>
        </is>
      </c>
    </row>
    <row r="2">
      <c r="B2" s="15" t="inlineStr">
        <is>
          <t>Dieses Blatt ist bereits geschützt - nur die gelben Felder lassen sich ausfüllen.</t>
        </is>
      </c>
    </row>
    <row r="4" ht="42" customHeight="1">
      <c r="B4" s="2" t="inlineStr">
        <is>
          <t>Probiere es aus: Klicke in das erste gelbe Feld und springe mit TAB weiter. Versuche danach, eine graue Zelle zu ändern - Excel blockiert das.</t>
        </is>
      </c>
    </row>
    <row r="7">
      <c r="B7" s="27" t="inlineStr">
        <is>
          <t>Antragsteller</t>
        </is>
      </c>
      <c r="C7" s="26" t="n"/>
    </row>
    <row r="8">
      <c r="B8" s="27" t="inlineStr">
        <is>
          <t>Abteilung</t>
        </is>
      </c>
      <c r="C8" s="26" t="n"/>
    </row>
    <row r="9">
      <c r="B9" s="27" t="inlineStr">
        <is>
          <t>Kostenstelle</t>
        </is>
      </c>
      <c r="C9" s="26" t="n"/>
    </row>
    <row r="10">
      <c r="B10" s="27" t="inlineStr">
        <is>
          <t>Betrag in EUR</t>
        </is>
      </c>
      <c r="C10" s="26" t="n"/>
    </row>
    <row r="11">
      <c r="B11" s="27" t="inlineStr">
        <is>
          <t>Begründung</t>
        </is>
      </c>
      <c r="C11" s="26" t="n"/>
    </row>
    <row r="13" ht="42" customHeight="1">
      <c r="B13" s="14" t="inlineStr">
        <is>
          <t>Der Blattschutz ist ohne Kennwort gesetzt - du kannst ihn über Überprüfen - Blattschutz aufheben jederzeit entfernen und dir ansehen, wie es gemacht wurde.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B1:D1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0" customWidth="1" min="3" max="3"/>
    <col width="44" customWidth="1" min="4" max="4"/>
  </cols>
  <sheetData>
    <row r="1" ht="22" customHeight="1">
      <c r="B1" s="1" t="inlineStr">
        <is>
          <t>5  Arbeitsmappe finalisieren</t>
        </is>
      </c>
    </row>
    <row r="2">
      <c r="B2" s="15" t="inlineStr">
        <is>
          <t>Kapitel: Arbeitsmappe finalisieren</t>
        </is>
      </c>
    </row>
    <row r="4" ht="30" customHeight="1">
      <c r="B4" s="19" t="inlineStr">
        <is>
          <t>Aufgabe 1:  Lass die Datei über Datei - Informationen - Auf Probleme überprüfen - Dokument prüfen durchsuchen. Notiere, was Excel alles findet.</t>
        </is>
      </c>
    </row>
    <row r="5" ht="28" customHeight="1">
      <c r="B5" s="14" t="inlineStr">
        <is>
          <t>Tipp: In dieser Mappe steckt unter anderem ein ausgeblendetes Arbeitsblatt und eine Notiz - beides taucht im Bericht auf.</t>
        </is>
      </c>
    </row>
    <row r="7">
      <c r="B7" s="11" t="inlineStr">
        <is>
          <t>Verständnisfrage</t>
        </is>
      </c>
      <c r="C7" s="11" t="inlineStr">
        <is>
          <t>dein Ergebnis</t>
        </is>
      </c>
      <c r="D7" s="11" t="inlineStr">
        <is>
          <t>Kontrolle</t>
        </is>
      </c>
    </row>
    <row r="8">
      <c r="B8" s="16" t="inlineStr">
        <is>
          <t>Wie viele ausgeblendete Arbeitsblätter findet die Prüfung?</t>
        </is>
      </c>
      <c r="C8" s="23" t="n"/>
      <c r="D8" s="24">
        <f>IF(C8="","Kontrolle",IF(C8=1,"OK - richtig","noch nicht richtig"))</f>
        <v/>
      </c>
    </row>
    <row r="10" ht="30" customHeight="1">
      <c r="B10" s="19" t="inlineStr">
        <is>
          <t>Aufgabe 2:  Prüfe die Barrierefreiheit (Auf Probleme überprüfen - Barrierefreiheit überprüfen) und behebe mindestens einen Hinweis.</t>
        </is>
      </c>
    </row>
    <row r="11" ht="30" customHeight="1">
      <c r="B11" s="19" t="inlineStr">
        <is>
          <t>Aufgabe 3:  Sieh dir unter Datei - Informationen die Eigenschaften an: Autor, Titel, Kategorie. Trage einen Titel und deinen Namen als Autor ein.</t>
        </is>
      </c>
    </row>
    <row r="12" ht="30" customHeight="1">
      <c r="B12" s="19" t="inlineStr">
        <is>
          <t>Aufgabe 4:  Kennzeichne die Arbeitsmappe als abgeschlossen und beobachte den Hinweis in der gelben Leiste. Hebe die Kennzeichnung danach wieder auf.</t>
        </is>
      </c>
    </row>
    <row r="13" ht="42" customHeight="1">
      <c r="B13" s="14" t="inlineStr">
        <is>
          <t>Tipp: Datei - Informationen - Arbeitsmappe schützen - Als abgeschlossen kennzeichnen. Das ist KEIN Schutz - jeder kann es mit einem Klick aufheben. Es ist ein Signal.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B1:E16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62" customWidth="1" min="3" max="3"/>
    <col width="20" customWidth="1" min="4" max="4"/>
    <col width="40" customWidth="1" min="5" max="5"/>
  </cols>
  <sheetData>
    <row r="1" ht="22" customHeight="1">
      <c r="B1" s="1" t="inlineStr">
        <is>
          <t>6  Elemente in anderen Office-Programmen verwenden</t>
        </is>
      </c>
    </row>
    <row r="2">
      <c r="B2" s="15" t="inlineStr">
        <is>
          <t>Kapitel: Verwenden von Elementen in anderen Office-Programmen</t>
        </is>
      </c>
    </row>
    <row r="4" ht="42" customHeight="1">
      <c r="B4" s="2" t="inlineStr">
        <is>
          <t>Kopiere eine Tabelle oder ein Diagramm aus dieser Mappe und füge es in PowerPoint auf vier verschiedene Arten ein. Beurteile danach selbst, welche Variante wann sinnvoll ist.</t>
        </is>
      </c>
    </row>
    <row r="6">
      <c r="B6" s="11" t="inlineStr">
        <is>
          <t>Einfügevariante</t>
        </is>
      </c>
      <c r="C6" s="11" t="inlineStr">
        <is>
          <t>Was du dabei beobachtest</t>
        </is>
      </c>
    </row>
    <row r="7" ht="28" customHeight="1">
      <c r="B7" s="16" t="inlineStr">
        <is>
          <t>Microsoft Office-Grafikobjekt (STRG + V)</t>
        </is>
      </c>
      <c r="C7" s="13" t="inlineStr">
        <is>
          <t>Formatierung und Elemente bleiben nachträglich änderbar; Daten reisen mit.</t>
        </is>
      </c>
    </row>
    <row r="8" ht="28" customHeight="1">
      <c r="B8" s="16" t="inlineStr">
        <is>
          <t>Als Bild (PNG/JPEG)</t>
        </is>
      </c>
      <c r="C8" s="13" t="inlineStr">
        <is>
          <t>Nichts mehr änderbar - dafür sicher, klein und überall gleich.</t>
        </is>
      </c>
    </row>
    <row r="9" ht="28" customHeight="1">
      <c r="B9" s="16" t="inlineStr">
        <is>
          <t>Excel Diagramm-Objekt</t>
        </is>
      </c>
      <c r="C9" s="13" t="inlineStr">
        <is>
          <t>Die GESAMTE Datei wird eingebettet - der Empfänger sieht per Doppelklick alle Blätter.</t>
        </is>
      </c>
    </row>
    <row r="10" ht="28" customHeight="1">
      <c r="B10" s="16" t="inlineStr">
        <is>
          <t>Excel Diagramm-Objekt mit Verknüpfung</t>
        </is>
      </c>
      <c r="C10" s="13" t="inlineStr">
        <is>
          <t>Bleibt mit der Quelldatei verbunden; ohne die Datei keine Aktualisierung mehr.</t>
        </is>
      </c>
    </row>
    <row r="12">
      <c r="B12" s="11" t="inlineStr">
        <is>
          <t>Frage</t>
        </is>
      </c>
      <c r="C12" s="11" t="inlineStr">
        <is>
          <t>deine Antwort</t>
        </is>
      </c>
      <c r="D12" s="11" t="inlineStr">
        <is>
          <t>Kontrolle</t>
        </is>
      </c>
    </row>
    <row r="13" ht="28" customHeight="1">
      <c r="B13" s="13" t="inlineStr">
        <is>
          <t>Welche Variante wählst du, wenn die Präsentation an Externe geht und keine internen Daten mitreisen dürfen?</t>
        </is>
      </c>
      <c r="D13" s="4" t="n"/>
      <c r="E13" s="24">
        <f>IF(D13="","Kontrolle",IF(EXACT(D13,"Als Bild"),"OK - richtig","noch nicht richtig"))</f>
        <v/>
      </c>
    </row>
    <row r="14" ht="28" customHeight="1">
      <c r="B14" s="13" t="inlineStr">
        <is>
          <t>Welche Variante wählst du, wenn sich die Zahlen bis zur Präsentation noch ändern und du selbst die Quelldatei hast?</t>
        </is>
      </c>
      <c r="D14" s="4" t="n"/>
      <c r="E14" s="24">
        <f>IF(D14="","Kontrolle",IF(EXACT(D14,"Mit Verknüpfung"),"OK - richtig","noch nicht richtig"))</f>
        <v/>
      </c>
    </row>
    <row r="16" ht="14" customHeight="1">
      <c r="B16" s="14" t="inlineStr">
        <is>
          <t>Antworte mit genau  Als Bild  bzw.  Mit Verknüpfung 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B1:B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</cols>
  <sheetData>
    <row r="1" ht="22" customHeight="1">
      <c r="B1" s="1" t="inlineStr">
        <is>
          <t>Internes Blatt</t>
        </is>
      </c>
    </row>
    <row r="2">
      <c r="B2" s="15" t="inlineStr">
        <is>
          <t>Genau dieses Blatt findet die Dokumentprüfung.</t>
        </is>
      </c>
    </row>
    <row r="4" ht="42" customHeight="1">
      <c r="B4" s="14" t="inlineStr">
        <is>
          <t>Ausgeblendete Blätter sind ein häufiger Grund dafür, dass beim Weitergeben von Dateien Informationen abfließen, die niemand sehen sollte. Die Dokumentprüfung weist darauf hin.</t>
        </is>
      </c>
    </row>
    <row r="6" ht="14" customHeight="1">
      <c r="B6" s="14" t="inlineStr">
        <is>
          <t>Blende es wieder aus: Rechtsklick auf das Register - Ausblenden.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B1:D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100" customWidth="1" min="4" max="4"/>
  </cols>
  <sheetData>
    <row r="1" ht="22" customHeight="1">
      <c r="B1" s="1" t="inlineStr">
        <is>
          <t>Lösungen</t>
        </is>
      </c>
    </row>
    <row r="2">
      <c r="B2" s="15" t="inlineStr">
        <is>
          <t>Nur nachsehen, wenn du wirklich nicht weiterkommst!</t>
        </is>
      </c>
    </row>
    <row r="4">
      <c r="B4" s="11" t="inlineStr">
        <is>
          <t>Arbeitsblatt</t>
        </is>
      </c>
      <c r="C4" s="11" t="inlineStr">
        <is>
          <t>Aufgabe</t>
        </is>
      </c>
      <c r="D4" s="11" t="inlineStr">
        <is>
          <t>Lösung</t>
        </is>
      </c>
    </row>
    <row r="5" ht="13" customHeight="1">
      <c r="B5" s="28" t="inlineStr">
        <is>
          <t>1 Design</t>
        </is>
      </c>
      <c r="C5" s="13" t="inlineStr">
        <is>
          <t>Design wechseln</t>
        </is>
      </c>
      <c r="D5" s="29" t="inlineStr">
        <is>
          <t>Seitenlayout - Designs</t>
        </is>
      </c>
    </row>
    <row r="6" ht="13" customHeight="1">
      <c r="B6" s="28" t="inlineStr"/>
      <c r="C6" s="13" t="inlineStr">
        <is>
          <t>Eigene Farben</t>
        </is>
      </c>
      <c r="D6" s="29" t="inlineStr">
        <is>
          <t>Seitenlayout - Farben - Farben anpassen - Akzent 1 ändern - speichern</t>
        </is>
      </c>
    </row>
    <row r="7" ht="13" customHeight="1">
      <c r="B7" s="28" t="inlineStr"/>
      <c r="C7" s="13" t="inlineStr">
        <is>
          <t>Design speichern</t>
        </is>
      </c>
      <c r="D7" s="29" t="inlineStr">
        <is>
          <t>Seitenlayout - Designs - Aktuelles Design speichern</t>
        </is>
      </c>
    </row>
    <row r="8" ht="13" customHeight="1">
      <c r="B8" s="28" t="inlineStr"/>
      <c r="C8" s="13" t="inlineStr">
        <is>
          <t>Designfarbe vs. feste Farbe</t>
        </is>
      </c>
      <c r="D8" s="29" t="inlineStr">
        <is>
          <t>Nur Designfarben (obere Reihe der Farbauswahl) ändern sich beim Designwechsel mit</t>
        </is>
      </c>
    </row>
    <row r="9" ht="13" customHeight="1">
      <c r="B9" s="28" t="inlineStr">
        <is>
          <t>2 Drucklayout</t>
        </is>
      </c>
      <c r="C9" s="13" t="inlineStr">
        <is>
          <t>Alles auf eine Seite breit</t>
        </is>
      </c>
      <c r="D9" s="29" t="inlineStr">
        <is>
          <t>Seitenlayout - Skalieren - Breite: 1 Seite, Höhe: Automatisch</t>
        </is>
      </c>
    </row>
    <row r="10" ht="13" customHeight="1">
      <c r="B10" s="28" t="inlineStr"/>
      <c r="C10" s="13" t="inlineStr">
        <is>
          <t>Wiederholungszeile</t>
        </is>
      </c>
      <c r="D10" s="29" t="inlineStr">
        <is>
          <t>Seitenlayout - Drucktitel - Wiederholungszeilen oben: $3:$3</t>
        </is>
      </c>
    </row>
    <row r="11" ht="13" customHeight="1">
      <c r="B11" s="28" t="inlineStr"/>
      <c r="C11" s="13" t="inlineStr">
        <is>
          <t>Seitenumbruch</t>
        </is>
      </c>
      <c r="D11" s="29" t="inlineStr">
        <is>
          <t>Zeile markieren - Seitenlayout - Umbrüche - Seitenumbruch einfügen</t>
        </is>
      </c>
    </row>
    <row r="12" ht="13" customHeight="1">
      <c r="B12" s="28" t="inlineStr"/>
      <c r="C12" s="13" t="inlineStr">
        <is>
          <t>Druckbereich</t>
        </is>
      </c>
      <c r="D12" s="29" t="inlineStr">
        <is>
          <t>Seitenlayout - Druckbereich - festlegen bzw. aufheben</t>
        </is>
      </c>
    </row>
    <row r="13" ht="13" customHeight="1">
      <c r="B13" s="28" t="inlineStr"/>
      <c r="C13" s="13" t="inlineStr">
        <is>
          <t>Verständnisfragen</t>
        </is>
      </c>
      <c r="D13" s="29" t="inlineStr">
        <is>
          <t>Datenzeilen: 180   |   Bundesländer: 9</t>
        </is>
      </c>
    </row>
    <row r="14" ht="13" customHeight="1">
      <c r="B14" s="28" t="inlineStr">
        <is>
          <t>3 Kommentare</t>
        </is>
      </c>
      <c r="C14" s="13" t="inlineStr">
        <is>
          <t>Kommentar</t>
        </is>
      </c>
      <c r="D14" s="29" t="inlineStr">
        <is>
          <t>Überprüfen - Neuer Kommentar (STRG + SHIFT + F2) - erlaubt Antworten und Auflösen</t>
        </is>
      </c>
    </row>
    <row r="15" ht="13" customHeight="1">
      <c r="B15" s="28" t="inlineStr"/>
      <c r="C15" s="13" t="inlineStr">
        <is>
          <t>Notiz</t>
        </is>
      </c>
      <c r="D15" s="29" t="inlineStr">
        <is>
          <t>Rechtsklick - Neue Notiz - gelber Haftzettel, keine Antwortfunktion</t>
        </is>
      </c>
    </row>
    <row r="16" ht="13" customHeight="1">
      <c r="B16" s="28" t="inlineStr"/>
      <c r="C16" s="13" t="inlineStr">
        <is>
          <t>Drucken</t>
        </is>
      </c>
      <c r="D16" s="29" t="inlineStr">
        <is>
          <t>Seitenlayout - Drucktitel - Blatt - Kommentare und Notizen</t>
        </is>
      </c>
    </row>
    <row r="17" ht="13" customHeight="1">
      <c r="B17" s="28" t="inlineStr">
        <is>
          <t>4 Schutz</t>
        </is>
      </c>
      <c r="C17" s="13" t="inlineStr">
        <is>
          <t>Formular</t>
        </is>
      </c>
      <c r="D17" s="29" t="inlineStr">
        <is>
          <t>Eingabezellen entsperren (Zellen formatieren - Schutz), danach Überprüfen - Blatt schützen</t>
        </is>
      </c>
    </row>
    <row r="18" ht="13" customHeight="1">
      <c r="B18" s="28" t="inlineStr"/>
      <c r="C18" s="13" t="inlineStr">
        <is>
          <t>Struktur</t>
        </is>
      </c>
      <c r="D18" s="29" t="inlineStr">
        <is>
          <t>Überprüfen - Arbeitsmappe schützen - verhindert Hinzufügen/Löschen/Umbenennen von Blättern</t>
        </is>
      </c>
    </row>
    <row r="19" ht="13" customHeight="1">
      <c r="B19" s="28" t="inlineStr"/>
      <c r="C19" s="13" t="inlineStr">
        <is>
          <t>Datei</t>
        </is>
      </c>
      <c r="D19" s="29" t="inlineStr">
        <is>
          <t>Datei - Speichern unter - Mehr Optionen - Tools - Allgemeine Optionen</t>
        </is>
      </c>
    </row>
    <row r="20" ht="13" customHeight="1">
      <c r="B20" s="28" t="inlineStr">
        <is>
          <t>5 Dokument prüfen</t>
        </is>
      </c>
      <c r="C20" s="13" t="inlineStr">
        <is>
          <t>Dokumentprüfung</t>
        </is>
      </c>
      <c r="D20" s="29" t="inlineStr">
        <is>
          <t>Datei - Informationen - Auf Probleme überprüfen - Dokument prüfen</t>
        </is>
      </c>
    </row>
    <row r="21" ht="13" customHeight="1">
      <c r="B21" s="28" t="inlineStr"/>
      <c r="C21" s="13" t="inlineStr">
        <is>
          <t>Ausgeblendete Blätter</t>
        </is>
      </c>
      <c r="D21" s="29" t="inlineStr">
        <is>
          <t>Die Mappe enthält genau 1 ausgeblendetes Blatt (Intern)</t>
        </is>
      </c>
    </row>
    <row r="22" ht="13" customHeight="1">
      <c r="B22" s="28" t="inlineStr"/>
      <c r="C22" s="13" t="inlineStr">
        <is>
          <t>Als abgeschlossen</t>
        </is>
      </c>
      <c r="D22" s="29" t="inlineStr">
        <is>
          <t>Datei - Informationen - Arbeitsmappe schützen - Als abgeschlossen kennzeichnen</t>
        </is>
      </c>
    </row>
    <row r="23" ht="13" customHeight="1">
      <c r="B23" s="28" t="inlineStr">
        <is>
          <t>6 Weitergeben</t>
        </is>
      </c>
      <c r="C23" s="13" t="inlineStr">
        <is>
          <t>Externe Präsentation</t>
        </is>
      </c>
      <c r="D23" s="29" t="inlineStr">
        <is>
          <t>Als Bild - es reisen keine Daten mit</t>
        </is>
      </c>
    </row>
    <row r="24" ht="13" customHeight="1">
      <c r="B24" s="28" t="inlineStr"/>
      <c r="C24" s="13" t="inlineStr">
        <is>
          <t>Zahlen ändern sich noch</t>
        </is>
      </c>
      <c r="D24" s="29" t="inlineStr">
        <is>
          <t>Mit Verknüpfung - Änderungen in Excel schlagen durch</t>
        </is>
      </c>
    </row>
    <row r="25" ht="13" customHeight="1">
      <c r="B25" s="28" t="inlineStr"/>
      <c r="C25" s="13" t="inlineStr">
        <is>
          <t>Vorsicht</t>
        </is>
      </c>
      <c r="D25" s="29" t="inlineStr">
        <is>
          <t>Excel Diagramm-Objekt bettet die komplette Datei ein - Datenschutzrisiko beim Versenden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2026-08-21T07:41:26Z</dcterms:created>
  <dcterms:modified xsi:type="dcterms:W3CDTF">2026-08-21T07:41:26Z</dcterms:modified>
</cp:coreProperties>
</file>