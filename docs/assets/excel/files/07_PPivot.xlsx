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Bestellungen" sheetId="2" state="visible" r:id="rId2"/>
    <sheet name="Kundenliste" sheetId="3" state="visible" r:id="rId3"/>
    <sheet name="Artikelstamm" sheetId="4" state="visible" r:id="rId4"/>
    <sheet name="1 Datenmodell" sheetId="5" state="visible" r:id="rId5"/>
    <sheet name="2 Auswerten" sheetId="6" state="visible" r:id="rId6"/>
    <sheet name="3 Measures+KPI" sheetId="7" state="visible" r:id="rId7"/>
    <sheet name="4 Kontrollwerte" sheetId="8" state="visible" r:id="rId8"/>
    <sheet name="Lösung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9">
    <font>
      <name val="Calibri"/>
      <family val="2"/>
      <color theme="1"/>
      <sz val="11"/>
      <scheme val="minor"/>
    </font>
    <font>
      <b val="1"/>
      <color rgb="001F4E79"/>
      <sz val="16"/>
    </font>
    <font>
      <sz val="11"/>
    </font>
    <font>
      <b val="1"/>
      <color rgb="002E75B6"/>
      <sz val="12"/>
    </font>
    <font>
      <b val="1"/>
      <color rgb="00FFFFFF"/>
      <sz val="11"/>
    </font>
    <font>
      <b val="1"/>
    </font>
    <font>
      <i val="1"/>
      <color rgb="00595959"/>
      <sz val="10"/>
    </font>
    <font>
      <color rgb="00375623"/>
      <sz val="10"/>
    </font>
    <font>
      <name val="Consolas"/>
      <sz val="10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8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5" fontId="0" fillId="0" borderId="0" pivotButton="0" quotePrefix="0" xfId="0"/>
    <xf numFmtId="4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2" borderId="1" pivotButton="0" quotePrefix="0" xfId="0"/>
    <xf numFmtId="0" fontId="7" fillId="0" borderId="0" pivotButton="0" quotePrefix="0" xfId="0"/>
    <xf numFmtId="4" fontId="0" fillId="2" borderId="1" pivotButton="0" quotePrefix="0" xfId="0"/>
    <xf numFmtId="0" fontId="5" fillId="0" borderId="2" applyAlignment="1" pivotButton="0" quotePrefix="0" xfId="0">
      <alignment vertical="top"/>
    </xf>
    <xf numFmtId="0" fontId="8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_bestellungen" displayName="tab_bestellungen" ref="B1:F241" headerRowCount="1">
  <autoFilter ref="B1:F241"/>
  <tableColumns count="5">
    <tableColumn id="2" name="BestellID"/>
    <tableColumn id="3" name="Datum"/>
    <tableColumn id="4" name="KundenID"/>
    <tableColumn id="5" name="ArtikelID"/>
    <tableColumn id="6" name="Anzahl"/>
  </tableColumns>
  <tableStyleInfo name="TableStyleMedium2" showRowStripes="1"/>
</table>
</file>

<file path=xl/tables/table2.xml><?xml version="1.0" encoding="utf-8"?>
<table xmlns="http://schemas.openxmlformats.org/spreadsheetml/2006/main" id="2" name="tab_kunden" displayName="tab_kunden" ref="B1:E7" headerRowCount="1">
  <autoFilter ref="B1:E7"/>
  <tableColumns count="4">
    <tableColumn id="2" name="KundenID"/>
    <tableColumn id="3" name="KundenName"/>
    <tableColumn id="4" name="Region"/>
    <tableColumn id="5" name="Kundenrabatt"/>
  </tableColumns>
  <tableStyleInfo name="TableStyleMedium4" showRowStripes="1"/>
</table>
</file>

<file path=xl/tables/table3.xml><?xml version="1.0" encoding="utf-8"?>
<table xmlns="http://schemas.openxmlformats.org/spreadsheetml/2006/main" id="3" name="tab_artikel" displayName="tab_artikel" ref="B1:F13" headerRowCount="1">
  <autoFilter ref="B1:F13"/>
  <tableColumns count="5">
    <tableColumn id="2" name="ArtikelID"/>
    <tableColumn id="3" name="Artikelname"/>
    <tableColumn id="4" name="Kategorie"/>
    <tableColumn id="5" name="Verkaufspreis"/>
    <tableColumn id="6" name="Einkaufspreis"/>
  </tableColumns>
  <tableStyleInfo name="TableStyleMedium6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1:C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  <col width="80" customWidth="1" min="3" max="3"/>
  </cols>
  <sheetData>
    <row r="1" ht="22" customHeight="1">
      <c r="B1" s="1" t="inlineStr">
        <is>
          <t>Übung 07_PPivot.xlsx  -  Power Pivot</t>
        </is>
      </c>
    </row>
    <row r="4" ht="70" customHeight="1">
      <c r="B4" s="2" t="inlineStr">
        <is>
          <t>Statt alles in eine große Tabelle zu kopieren, arbeitet Power Pivot mit einem Datenmodell: eine Faktentabelle (Bestellungen) und mehrere Dimensionstabellen (Kunden, Artikel), verbunden über Schlüsselfelder. Genau so funktionieren Datenbanken - und genau so skaliert es auch über eine Million Zeilen hinaus.</t>
        </is>
      </c>
    </row>
    <row r="6">
      <c r="B6" s="3" t="inlineStr">
        <is>
          <t>So arbeitest du mit der Datei</t>
        </is>
      </c>
    </row>
    <row r="7" ht="14" customHeight="1">
      <c r="B7" s="2" t="inlineStr">
        <is>
          <t>1.  Lies die Aufgabe in Spalte B.</t>
        </is>
      </c>
    </row>
    <row r="8" ht="14" customHeight="1">
      <c r="B8" s="2" t="inlineStr">
        <is>
          <t>2.  Trage deine Lösung in die gelb hinterlegte Zelle ein.</t>
        </is>
      </c>
    </row>
    <row r="9" ht="28" customHeight="1">
      <c r="B9" s="2" t="inlineStr">
        <is>
          <t>3.  Wo eine Kontrollspalte steht, prüft sie deine Eingabe automatisch.</t>
        </is>
      </c>
    </row>
    <row r="10" ht="42" customHeight="1">
      <c r="B10" s="2" t="inlineStr">
        <is>
          <t>4.  Aufgaben zu Formatierung, Ansicht oder Schutz kann Excel nicht selbst prüfen - dort siehst du das Ergebnis direkt am Bildschirm bzw. vergleichst mit dem Zielbild.</t>
        </is>
      </c>
    </row>
    <row r="11" ht="28" customHeight="1">
      <c r="B11" s="2" t="inlineStr">
        <is>
          <t>5.  Kommst du nicht weiter: das Arbeitsblatt "Lösungen" ganz rechts zeigt den Weg.</t>
        </is>
      </c>
    </row>
    <row r="13">
      <c r="B13" s="3" t="inlineStr">
        <is>
          <t>Legende</t>
        </is>
      </c>
    </row>
    <row r="14">
      <c r="B14" s="4" t="inlineStr"/>
      <c r="C14" s="5" t="inlineStr">
        <is>
          <t>Hier bist du dran - Wert, Formel oder Formatierung eintragen</t>
        </is>
      </c>
    </row>
    <row r="15">
      <c r="B15" s="6" t="inlineStr"/>
      <c r="C15" s="5" t="inlineStr">
        <is>
          <t>Vorgegebene Daten - nicht verändern</t>
        </is>
      </c>
    </row>
    <row r="16">
      <c r="B16" s="7" t="inlineStr"/>
      <c r="C16" s="5" t="inlineStr">
        <is>
          <t>Startpunkt / Quelle einer Aktion</t>
        </is>
      </c>
    </row>
    <row r="17">
      <c r="B17" s="8" t="inlineStr"/>
      <c r="C17" s="5" t="inlineStr">
        <is>
          <t>Zielbereich einer Aktion</t>
        </is>
      </c>
    </row>
    <row r="18">
      <c r="B18" s="9" t="inlineStr"/>
      <c r="C18" s="5" t="inlineStr">
        <is>
          <t>Markierung für Struktur-Übungen (Zeilen, Spalten, Blätter)</t>
        </is>
      </c>
    </row>
    <row r="19">
      <c r="B19" s="10" t="inlineStr"/>
      <c r="C19" s="5" t="inlineStr">
        <is>
          <t>Dieser Bereich soll gelöscht oder korrigiert werden</t>
        </is>
      </c>
    </row>
    <row r="21">
      <c r="B21" s="3" t="inlineStr">
        <is>
          <t>Inhalt der Übung</t>
        </is>
      </c>
    </row>
    <row r="22">
      <c r="B22" s="11" t="inlineStr">
        <is>
          <t>Arbeitsblatt</t>
        </is>
      </c>
      <c r="C22" s="11" t="inlineStr">
        <is>
          <t>Inhalt</t>
        </is>
      </c>
    </row>
    <row r="23">
      <c r="B23" s="12" t="inlineStr">
        <is>
          <t>Bestellungen</t>
        </is>
      </c>
      <c r="C23" s="13" t="inlineStr">
        <is>
          <t>Faktentabelle - viele Zeilen, nur Schlüssel statt Details</t>
        </is>
      </c>
    </row>
    <row r="24">
      <c r="B24" s="12" t="inlineStr">
        <is>
          <t>Kundenliste</t>
        </is>
      </c>
      <c r="C24" s="13" t="inlineStr">
        <is>
          <t>Dimensionstabelle Kunden</t>
        </is>
      </c>
    </row>
    <row r="25">
      <c r="B25" s="12" t="inlineStr">
        <is>
          <t>Artikelstamm</t>
        </is>
      </c>
      <c r="C25" s="13" t="inlineStr">
        <is>
          <t>Dimensionstabelle Artikel</t>
        </is>
      </c>
    </row>
    <row r="26">
      <c r="B26" s="12" t="inlineStr">
        <is>
          <t>1 Datenmodell</t>
        </is>
      </c>
      <c r="C26" s="13" t="inlineStr">
        <is>
          <t>Daten laden und Beziehungen herstellen</t>
        </is>
      </c>
    </row>
    <row r="27">
      <c r="B27" s="12" t="inlineStr">
        <is>
          <t>2 Auswerten</t>
        </is>
      </c>
      <c r="C27" s="13" t="inlineStr">
        <is>
          <t>Pivot aus dem Datenmodell, RELATED, berechnete Spalten</t>
        </is>
      </c>
    </row>
    <row r="28">
      <c r="B28" s="12" t="inlineStr">
        <is>
          <t>3 Measures+KPI</t>
        </is>
      </c>
      <c r="C28" s="13" t="inlineStr">
        <is>
          <t>Measures anlegen und daraus KPIs bauen</t>
        </is>
      </c>
    </row>
    <row r="29">
      <c r="B29" s="12" t="inlineStr">
        <is>
          <t>4 Kontrollwerte</t>
        </is>
      </c>
      <c r="C29" s="13" t="inlineStr">
        <is>
          <t>Prüfe deine Auswertung</t>
        </is>
      </c>
    </row>
    <row r="31" ht="42" customHeight="1">
      <c r="B31" s="14" t="inlineStr">
        <is>
          <t>Falls die Registerkarte Power Pivot fehlt: Datei - Optionen - Add-Ins - Verwalten: COM-Add-Ins - Los - Microsoft Power Pivot for Excel anhaken.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B1:F24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12" customWidth="1" min="4" max="4"/>
    <col width="12" customWidth="1" min="5" max="5"/>
    <col width="10" customWidth="1" min="6" max="6"/>
  </cols>
  <sheetData>
    <row r="1">
      <c r="B1" t="inlineStr">
        <is>
          <t>BestellID</t>
        </is>
      </c>
      <c r="C1" t="inlineStr">
        <is>
          <t>Datum</t>
        </is>
      </c>
      <c r="D1" t="inlineStr">
        <is>
          <t>KundenID</t>
        </is>
      </c>
      <c r="E1" t="inlineStr">
        <is>
          <t>ArtikelID</t>
        </is>
      </c>
      <c r="F1" t="inlineStr">
        <is>
          <t>Anzahl</t>
        </is>
      </c>
    </row>
    <row r="2">
      <c r="B2" t="n">
        <v>70000</v>
      </c>
      <c r="C2" s="15" t="n">
        <v>46048</v>
      </c>
      <c r="D2" t="n">
        <v>1</v>
      </c>
      <c r="E2" t="n">
        <v>9008</v>
      </c>
      <c r="F2" t="n">
        <v>1</v>
      </c>
    </row>
    <row r="3">
      <c r="B3" t="n">
        <v>70001</v>
      </c>
      <c r="C3" s="15" t="n">
        <v>46176</v>
      </c>
      <c r="D3" t="n">
        <v>1</v>
      </c>
      <c r="E3" t="n">
        <v>9010</v>
      </c>
      <c r="F3" t="n">
        <v>22</v>
      </c>
    </row>
    <row r="4">
      <c r="B4" t="n">
        <v>70002</v>
      </c>
      <c r="C4" s="15" t="n">
        <v>46023</v>
      </c>
      <c r="D4" t="n">
        <v>3</v>
      </c>
      <c r="E4" t="n">
        <v>9002</v>
      </c>
      <c r="F4" t="n">
        <v>8</v>
      </c>
    </row>
    <row r="5">
      <c r="B5" t="n">
        <v>70003</v>
      </c>
      <c r="C5" s="15" t="n">
        <v>46158</v>
      </c>
      <c r="D5" t="n">
        <v>3</v>
      </c>
      <c r="E5" t="n">
        <v>9001</v>
      </c>
      <c r="F5" t="n">
        <v>21</v>
      </c>
    </row>
    <row r="6">
      <c r="B6" t="n">
        <v>70004</v>
      </c>
      <c r="C6" s="15" t="n">
        <v>46028</v>
      </c>
      <c r="D6" t="n">
        <v>4</v>
      </c>
      <c r="E6" t="n">
        <v>9010</v>
      </c>
      <c r="F6" t="n">
        <v>5</v>
      </c>
    </row>
    <row r="7">
      <c r="B7" t="n">
        <v>70005</v>
      </c>
      <c r="C7" s="15" t="n">
        <v>46158</v>
      </c>
      <c r="D7" t="n">
        <v>1</v>
      </c>
      <c r="E7" t="n">
        <v>9012</v>
      </c>
      <c r="F7" t="n">
        <v>1</v>
      </c>
    </row>
    <row r="8">
      <c r="B8" t="n">
        <v>70006</v>
      </c>
      <c r="C8" s="15" t="n">
        <v>46157</v>
      </c>
      <c r="D8" t="n">
        <v>1</v>
      </c>
      <c r="E8" t="n">
        <v>9004</v>
      </c>
      <c r="F8" t="n">
        <v>22</v>
      </c>
    </row>
    <row r="9">
      <c r="B9" t="n">
        <v>70007</v>
      </c>
      <c r="C9" s="15" t="n">
        <v>46039</v>
      </c>
      <c r="D9" t="n">
        <v>5</v>
      </c>
      <c r="E9" t="n">
        <v>9002</v>
      </c>
      <c r="F9" t="n">
        <v>22</v>
      </c>
    </row>
    <row r="10">
      <c r="B10" t="n">
        <v>70008</v>
      </c>
      <c r="C10" s="15" t="n">
        <v>46145</v>
      </c>
      <c r="D10" t="n">
        <v>1</v>
      </c>
      <c r="E10" t="n">
        <v>9010</v>
      </c>
      <c r="F10" t="n">
        <v>9</v>
      </c>
    </row>
    <row r="11">
      <c r="B11" t="n">
        <v>70009</v>
      </c>
      <c r="C11" s="15" t="n">
        <v>46090</v>
      </c>
      <c r="D11" t="n">
        <v>3</v>
      </c>
      <c r="E11" t="n">
        <v>9011</v>
      </c>
      <c r="F11" t="n">
        <v>16</v>
      </c>
    </row>
    <row r="12">
      <c r="B12" t="n">
        <v>70010</v>
      </c>
      <c r="C12" s="15" t="n">
        <v>46129</v>
      </c>
      <c r="D12" t="n">
        <v>6</v>
      </c>
      <c r="E12" t="n">
        <v>9004</v>
      </c>
      <c r="F12" t="n">
        <v>7</v>
      </c>
    </row>
    <row r="13">
      <c r="B13" t="n">
        <v>70011</v>
      </c>
      <c r="C13" s="15" t="n">
        <v>46023</v>
      </c>
      <c r="D13" t="n">
        <v>1</v>
      </c>
      <c r="E13" t="n">
        <v>9011</v>
      </c>
      <c r="F13" t="n">
        <v>17</v>
      </c>
    </row>
    <row r="14">
      <c r="B14" t="n">
        <v>70012</v>
      </c>
      <c r="C14" s="15" t="n">
        <v>46134</v>
      </c>
      <c r="D14" t="n">
        <v>2</v>
      </c>
      <c r="E14" t="n">
        <v>9006</v>
      </c>
      <c r="F14" t="n">
        <v>23</v>
      </c>
    </row>
    <row r="15">
      <c r="B15" t="n">
        <v>70013</v>
      </c>
      <c r="C15" s="15" t="n">
        <v>46041</v>
      </c>
      <c r="D15" t="n">
        <v>2</v>
      </c>
      <c r="E15" t="n">
        <v>9007</v>
      </c>
      <c r="F15" t="n">
        <v>2</v>
      </c>
    </row>
    <row r="16">
      <c r="B16" t="n">
        <v>70014</v>
      </c>
      <c r="C16" s="15" t="n">
        <v>46149</v>
      </c>
      <c r="D16" t="n">
        <v>2</v>
      </c>
      <c r="E16" t="n">
        <v>9008</v>
      </c>
      <c r="F16" t="n">
        <v>3</v>
      </c>
    </row>
    <row r="17">
      <c r="B17" t="n">
        <v>70015</v>
      </c>
      <c r="C17" s="15" t="n">
        <v>46039</v>
      </c>
      <c r="D17" t="n">
        <v>1</v>
      </c>
      <c r="E17" t="n">
        <v>9003</v>
      </c>
      <c r="F17" t="n">
        <v>12</v>
      </c>
    </row>
    <row r="18">
      <c r="B18" t="n">
        <v>70016</v>
      </c>
      <c r="C18" s="15" t="n">
        <v>46114</v>
      </c>
      <c r="D18" t="n">
        <v>6</v>
      </c>
      <c r="E18" t="n">
        <v>9003</v>
      </c>
      <c r="F18" t="n">
        <v>10</v>
      </c>
    </row>
    <row r="19">
      <c r="B19" t="n">
        <v>70017</v>
      </c>
      <c r="C19" s="15" t="n">
        <v>46028</v>
      </c>
      <c r="D19" t="n">
        <v>3</v>
      </c>
      <c r="E19" t="n">
        <v>9007</v>
      </c>
      <c r="F19" t="n">
        <v>22</v>
      </c>
    </row>
    <row r="20">
      <c r="B20" t="n">
        <v>70018</v>
      </c>
      <c r="C20" s="15" t="n">
        <v>46078</v>
      </c>
      <c r="D20" t="n">
        <v>2</v>
      </c>
      <c r="E20" t="n">
        <v>9005</v>
      </c>
      <c r="F20" t="n">
        <v>10</v>
      </c>
    </row>
    <row r="21">
      <c r="B21" t="n">
        <v>70019</v>
      </c>
      <c r="C21" s="15" t="n">
        <v>46137</v>
      </c>
      <c r="D21" t="n">
        <v>1</v>
      </c>
      <c r="E21" t="n">
        <v>9008</v>
      </c>
      <c r="F21" t="n">
        <v>19</v>
      </c>
    </row>
    <row r="22">
      <c r="B22" t="n">
        <v>70020</v>
      </c>
      <c r="C22" s="15" t="n">
        <v>46169</v>
      </c>
      <c r="D22" t="n">
        <v>4</v>
      </c>
      <c r="E22" t="n">
        <v>9006</v>
      </c>
      <c r="F22" t="n">
        <v>11</v>
      </c>
    </row>
    <row r="23">
      <c r="B23" t="n">
        <v>70021</v>
      </c>
      <c r="C23" s="15" t="n">
        <v>46140</v>
      </c>
      <c r="D23" t="n">
        <v>4</v>
      </c>
      <c r="E23" t="n">
        <v>9008</v>
      </c>
      <c r="F23" t="n">
        <v>2</v>
      </c>
    </row>
    <row r="24">
      <c r="B24" t="n">
        <v>70022</v>
      </c>
      <c r="C24" s="15" t="n">
        <v>46198</v>
      </c>
      <c r="D24" t="n">
        <v>2</v>
      </c>
      <c r="E24" t="n">
        <v>9010</v>
      </c>
      <c r="F24" t="n">
        <v>15</v>
      </c>
    </row>
    <row r="25">
      <c r="B25" t="n">
        <v>70023</v>
      </c>
      <c r="C25" s="15" t="n">
        <v>46085</v>
      </c>
      <c r="D25" t="n">
        <v>4</v>
      </c>
      <c r="E25" t="n">
        <v>9009</v>
      </c>
      <c r="F25" t="n">
        <v>10</v>
      </c>
    </row>
    <row r="26">
      <c r="B26" t="n">
        <v>70024</v>
      </c>
      <c r="C26" s="15" t="n">
        <v>46039</v>
      </c>
      <c r="D26" t="n">
        <v>4</v>
      </c>
      <c r="E26" t="n">
        <v>9003</v>
      </c>
      <c r="F26" t="n">
        <v>14</v>
      </c>
    </row>
    <row r="27">
      <c r="B27" t="n">
        <v>70025</v>
      </c>
      <c r="C27" s="15" t="n">
        <v>46182</v>
      </c>
      <c r="D27" t="n">
        <v>4</v>
      </c>
      <c r="E27" t="n">
        <v>9002</v>
      </c>
      <c r="F27" t="n">
        <v>13</v>
      </c>
    </row>
    <row r="28">
      <c r="B28" t="n">
        <v>70026</v>
      </c>
      <c r="C28" s="15" t="n">
        <v>46045</v>
      </c>
      <c r="D28" t="n">
        <v>2</v>
      </c>
      <c r="E28" t="n">
        <v>9011</v>
      </c>
      <c r="F28" t="n">
        <v>12</v>
      </c>
    </row>
    <row r="29">
      <c r="B29" t="n">
        <v>70027</v>
      </c>
      <c r="C29" s="15" t="n">
        <v>46086</v>
      </c>
      <c r="D29" t="n">
        <v>2</v>
      </c>
      <c r="E29" t="n">
        <v>9012</v>
      </c>
      <c r="F29" t="n">
        <v>19</v>
      </c>
    </row>
    <row r="30">
      <c r="B30" t="n">
        <v>70028</v>
      </c>
      <c r="C30" s="15" t="n">
        <v>46176</v>
      </c>
      <c r="D30" t="n">
        <v>3</v>
      </c>
      <c r="E30" t="n">
        <v>9012</v>
      </c>
      <c r="F30" t="n">
        <v>15</v>
      </c>
    </row>
    <row r="31">
      <c r="B31" t="n">
        <v>70029</v>
      </c>
      <c r="C31" s="15" t="n">
        <v>46032</v>
      </c>
      <c r="D31" t="n">
        <v>4</v>
      </c>
      <c r="E31" t="n">
        <v>9002</v>
      </c>
      <c r="F31" t="n">
        <v>7</v>
      </c>
    </row>
    <row r="32">
      <c r="B32" t="n">
        <v>70030</v>
      </c>
      <c r="C32" s="15" t="n">
        <v>46048</v>
      </c>
      <c r="D32" t="n">
        <v>2</v>
      </c>
      <c r="E32" t="n">
        <v>9001</v>
      </c>
      <c r="F32" t="n">
        <v>17</v>
      </c>
    </row>
    <row r="33">
      <c r="B33" t="n">
        <v>70031</v>
      </c>
      <c r="C33" s="15" t="n">
        <v>46115</v>
      </c>
      <c r="D33" t="n">
        <v>3</v>
      </c>
      <c r="E33" t="n">
        <v>9012</v>
      </c>
      <c r="F33" t="n">
        <v>10</v>
      </c>
    </row>
    <row r="34">
      <c r="B34" t="n">
        <v>70032</v>
      </c>
      <c r="C34" s="15" t="n">
        <v>46187</v>
      </c>
      <c r="D34" t="n">
        <v>3</v>
      </c>
      <c r="E34" t="n">
        <v>9010</v>
      </c>
      <c r="F34" t="n">
        <v>3</v>
      </c>
    </row>
    <row r="35">
      <c r="B35" t="n">
        <v>70033</v>
      </c>
      <c r="C35" s="15" t="n">
        <v>46076</v>
      </c>
      <c r="D35" t="n">
        <v>1</v>
      </c>
      <c r="E35" t="n">
        <v>9004</v>
      </c>
      <c r="F35" t="n">
        <v>13</v>
      </c>
    </row>
    <row r="36">
      <c r="B36" t="n">
        <v>70034</v>
      </c>
      <c r="C36" s="15" t="n">
        <v>46109</v>
      </c>
      <c r="D36" t="n">
        <v>5</v>
      </c>
      <c r="E36" t="n">
        <v>9008</v>
      </c>
      <c r="F36" t="n">
        <v>8</v>
      </c>
    </row>
    <row r="37">
      <c r="B37" t="n">
        <v>70035</v>
      </c>
      <c r="C37" s="15" t="n">
        <v>46118</v>
      </c>
      <c r="D37" t="n">
        <v>5</v>
      </c>
      <c r="E37" t="n">
        <v>9004</v>
      </c>
      <c r="F37" t="n">
        <v>23</v>
      </c>
    </row>
    <row r="38">
      <c r="B38" t="n">
        <v>70036</v>
      </c>
      <c r="C38" s="15" t="n">
        <v>46049</v>
      </c>
      <c r="D38" t="n">
        <v>2</v>
      </c>
      <c r="E38" t="n">
        <v>9010</v>
      </c>
      <c r="F38" t="n">
        <v>10</v>
      </c>
    </row>
    <row r="39">
      <c r="B39" t="n">
        <v>70037</v>
      </c>
      <c r="C39" s="15" t="n">
        <v>46137</v>
      </c>
      <c r="D39" t="n">
        <v>5</v>
      </c>
      <c r="E39" t="n">
        <v>9006</v>
      </c>
      <c r="F39" t="n">
        <v>5</v>
      </c>
    </row>
    <row r="40">
      <c r="B40" t="n">
        <v>70038</v>
      </c>
      <c r="C40" s="15" t="n">
        <v>46058</v>
      </c>
      <c r="D40" t="n">
        <v>4</v>
      </c>
      <c r="E40" t="n">
        <v>9009</v>
      </c>
      <c r="F40" t="n">
        <v>11</v>
      </c>
    </row>
    <row r="41">
      <c r="B41" t="n">
        <v>70039</v>
      </c>
      <c r="C41" s="15" t="n">
        <v>46080</v>
      </c>
      <c r="D41" t="n">
        <v>5</v>
      </c>
      <c r="E41" t="n">
        <v>9001</v>
      </c>
      <c r="F41" t="n">
        <v>6</v>
      </c>
    </row>
    <row r="42">
      <c r="B42" t="n">
        <v>70040</v>
      </c>
      <c r="C42" s="15" t="n">
        <v>46087</v>
      </c>
      <c r="D42" t="n">
        <v>1</v>
      </c>
      <c r="E42" t="n">
        <v>9009</v>
      </c>
      <c r="F42" t="n">
        <v>23</v>
      </c>
    </row>
    <row r="43">
      <c r="B43" t="n">
        <v>70041</v>
      </c>
      <c r="C43" s="15" t="n">
        <v>46043</v>
      </c>
      <c r="D43" t="n">
        <v>6</v>
      </c>
      <c r="E43" t="n">
        <v>9001</v>
      </c>
      <c r="F43" t="n">
        <v>22</v>
      </c>
    </row>
    <row r="44">
      <c r="B44" t="n">
        <v>70042</v>
      </c>
      <c r="C44" s="15" t="n">
        <v>46036</v>
      </c>
      <c r="D44" t="n">
        <v>2</v>
      </c>
      <c r="E44" t="n">
        <v>9002</v>
      </c>
      <c r="F44" t="n">
        <v>7</v>
      </c>
    </row>
    <row r="45">
      <c r="B45" t="n">
        <v>70043</v>
      </c>
      <c r="C45" s="15" t="n">
        <v>46080</v>
      </c>
      <c r="D45" t="n">
        <v>6</v>
      </c>
      <c r="E45" t="n">
        <v>9007</v>
      </c>
      <c r="F45" t="n">
        <v>11</v>
      </c>
    </row>
    <row r="46">
      <c r="B46" t="n">
        <v>70044</v>
      </c>
      <c r="C46" s="15" t="n">
        <v>46163</v>
      </c>
      <c r="D46" t="n">
        <v>4</v>
      </c>
      <c r="E46" t="n">
        <v>9011</v>
      </c>
      <c r="F46" t="n">
        <v>9</v>
      </c>
    </row>
    <row r="47">
      <c r="B47" t="n">
        <v>70045</v>
      </c>
      <c r="C47" s="15" t="n">
        <v>46192</v>
      </c>
      <c r="D47" t="n">
        <v>4</v>
      </c>
      <c r="E47" t="n">
        <v>9005</v>
      </c>
      <c r="F47" t="n">
        <v>11</v>
      </c>
    </row>
    <row r="48">
      <c r="B48" t="n">
        <v>70046</v>
      </c>
      <c r="C48" s="15" t="n">
        <v>46090</v>
      </c>
      <c r="D48" t="n">
        <v>5</v>
      </c>
      <c r="E48" t="n">
        <v>9003</v>
      </c>
      <c r="F48" t="n">
        <v>3</v>
      </c>
    </row>
    <row r="49">
      <c r="B49" t="n">
        <v>70047</v>
      </c>
      <c r="C49" s="15" t="n">
        <v>46098</v>
      </c>
      <c r="D49" t="n">
        <v>4</v>
      </c>
      <c r="E49" t="n">
        <v>9007</v>
      </c>
      <c r="F49" t="n">
        <v>19</v>
      </c>
    </row>
    <row r="50">
      <c r="B50" t="n">
        <v>70048</v>
      </c>
      <c r="C50" s="15" t="n">
        <v>46088</v>
      </c>
      <c r="D50" t="n">
        <v>6</v>
      </c>
      <c r="E50" t="n">
        <v>9002</v>
      </c>
      <c r="F50" t="n">
        <v>13</v>
      </c>
    </row>
    <row r="51">
      <c r="B51" t="n">
        <v>70049</v>
      </c>
      <c r="C51" s="15" t="n">
        <v>46114</v>
      </c>
      <c r="D51" t="n">
        <v>6</v>
      </c>
      <c r="E51" t="n">
        <v>9005</v>
      </c>
      <c r="F51" t="n">
        <v>19</v>
      </c>
    </row>
    <row r="52">
      <c r="B52" t="n">
        <v>70050</v>
      </c>
      <c r="C52" s="15" t="n">
        <v>46118</v>
      </c>
      <c r="D52" t="n">
        <v>4</v>
      </c>
      <c r="E52" t="n">
        <v>9006</v>
      </c>
      <c r="F52" t="n">
        <v>8</v>
      </c>
    </row>
    <row r="53">
      <c r="B53" t="n">
        <v>70051</v>
      </c>
      <c r="C53" s="15" t="n">
        <v>46038</v>
      </c>
      <c r="D53" t="n">
        <v>3</v>
      </c>
      <c r="E53" t="n">
        <v>9007</v>
      </c>
      <c r="F53" t="n">
        <v>1</v>
      </c>
    </row>
    <row r="54">
      <c r="B54" t="n">
        <v>70052</v>
      </c>
      <c r="C54" s="15" t="n">
        <v>46200</v>
      </c>
      <c r="D54" t="n">
        <v>3</v>
      </c>
      <c r="E54" t="n">
        <v>9007</v>
      </c>
      <c r="F54" t="n">
        <v>14</v>
      </c>
    </row>
    <row r="55">
      <c r="B55" t="n">
        <v>70053</v>
      </c>
      <c r="C55" s="15" t="n">
        <v>46189</v>
      </c>
      <c r="D55" t="n">
        <v>2</v>
      </c>
      <c r="E55" t="n">
        <v>9008</v>
      </c>
      <c r="F55" t="n">
        <v>13</v>
      </c>
    </row>
    <row r="56">
      <c r="B56" t="n">
        <v>70054</v>
      </c>
      <c r="C56" s="15" t="n">
        <v>46102</v>
      </c>
      <c r="D56" t="n">
        <v>3</v>
      </c>
      <c r="E56" t="n">
        <v>9003</v>
      </c>
      <c r="F56" t="n">
        <v>19</v>
      </c>
    </row>
    <row r="57">
      <c r="B57" t="n">
        <v>70055</v>
      </c>
      <c r="C57" s="15" t="n">
        <v>46070</v>
      </c>
      <c r="D57" t="n">
        <v>3</v>
      </c>
      <c r="E57" t="n">
        <v>9010</v>
      </c>
      <c r="F57" t="n">
        <v>7</v>
      </c>
    </row>
    <row r="58">
      <c r="B58" t="n">
        <v>70056</v>
      </c>
      <c r="C58" s="15" t="n">
        <v>46134</v>
      </c>
      <c r="D58" t="n">
        <v>4</v>
      </c>
      <c r="E58" t="n">
        <v>9010</v>
      </c>
      <c r="F58" t="n">
        <v>22</v>
      </c>
    </row>
    <row r="59">
      <c r="B59" t="n">
        <v>70057</v>
      </c>
      <c r="C59" s="15" t="n">
        <v>46199</v>
      </c>
      <c r="D59" t="n">
        <v>6</v>
      </c>
      <c r="E59" t="n">
        <v>9001</v>
      </c>
      <c r="F59" t="n">
        <v>15</v>
      </c>
    </row>
    <row r="60">
      <c r="B60" t="n">
        <v>70058</v>
      </c>
      <c r="C60" s="15" t="n">
        <v>46115</v>
      </c>
      <c r="D60" t="n">
        <v>1</v>
      </c>
      <c r="E60" t="n">
        <v>9002</v>
      </c>
      <c r="F60" t="n">
        <v>12</v>
      </c>
    </row>
    <row r="61">
      <c r="B61" t="n">
        <v>70059</v>
      </c>
      <c r="C61" s="15" t="n">
        <v>46106</v>
      </c>
      <c r="D61" t="n">
        <v>5</v>
      </c>
      <c r="E61" t="n">
        <v>9003</v>
      </c>
      <c r="F61" t="n">
        <v>11</v>
      </c>
    </row>
    <row r="62">
      <c r="B62" t="n">
        <v>70060</v>
      </c>
      <c r="C62" s="15" t="n">
        <v>46192</v>
      </c>
      <c r="D62" t="n">
        <v>3</v>
      </c>
      <c r="E62" t="n">
        <v>9005</v>
      </c>
      <c r="F62" t="n">
        <v>22</v>
      </c>
    </row>
    <row r="63">
      <c r="B63" t="n">
        <v>70061</v>
      </c>
      <c r="C63" s="15" t="n">
        <v>46149</v>
      </c>
      <c r="D63" t="n">
        <v>5</v>
      </c>
      <c r="E63" t="n">
        <v>9006</v>
      </c>
      <c r="F63" t="n">
        <v>10</v>
      </c>
    </row>
    <row r="64">
      <c r="B64" t="n">
        <v>70062</v>
      </c>
      <c r="C64" s="15" t="n">
        <v>46040</v>
      </c>
      <c r="D64" t="n">
        <v>6</v>
      </c>
      <c r="E64" t="n">
        <v>9009</v>
      </c>
      <c r="F64" t="n">
        <v>9</v>
      </c>
    </row>
    <row r="65">
      <c r="B65" t="n">
        <v>70063</v>
      </c>
      <c r="C65" s="15" t="n">
        <v>46098</v>
      </c>
      <c r="D65" t="n">
        <v>5</v>
      </c>
      <c r="E65" t="n">
        <v>9012</v>
      </c>
      <c r="F65" t="n">
        <v>7</v>
      </c>
    </row>
    <row r="66">
      <c r="B66" t="n">
        <v>70064</v>
      </c>
      <c r="C66" s="15" t="n">
        <v>46084</v>
      </c>
      <c r="D66" t="n">
        <v>3</v>
      </c>
      <c r="E66" t="n">
        <v>9006</v>
      </c>
      <c r="F66" t="n">
        <v>15</v>
      </c>
    </row>
    <row r="67">
      <c r="B67" t="n">
        <v>70065</v>
      </c>
      <c r="C67" s="15" t="n">
        <v>46146</v>
      </c>
      <c r="D67" t="n">
        <v>5</v>
      </c>
      <c r="E67" t="n">
        <v>9009</v>
      </c>
      <c r="F67" t="n">
        <v>19</v>
      </c>
    </row>
    <row r="68">
      <c r="B68" t="n">
        <v>70066</v>
      </c>
      <c r="C68" s="15" t="n">
        <v>46081</v>
      </c>
      <c r="D68" t="n">
        <v>3</v>
      </c>
      <c r="E68" t="n">
        <v>9004</v>
      </c>
      <c r="F68" t="n">
        <v>12</v>
      </c>
    </row>
    <row r="69">
      <c r="B69" t="n">
        <v>70067</v>
      </c>
      <c r="C69" s="15" t="n">
        <v>46175</v>
      </c>
      <c r="D69" t="n">
        <v>4</v>
      </c>
      <c r="E69" t="n">
        <v>9001</v>
      </c>
      <c r="F69" t="n">
        <v>2</v>
      </c>
    </row>
    <row r="70">
      <c r="B70" t="n">
        <v>70068</v>
      </c>
      <c r="C70" s="15" t="n">
        <v>46098</v>
      </c>
      <c r="D70" t="n">
        <v>6</v>
      </c>
      <c r="E70" t="n">
        <v>9004</v>
      </c>
      <c r="F70" t="n">
        <v>5</v>
      </c>
    </row>
    <row r="71">
      <c r="B71" t="n">
        <v>70069</v>
      </c>
      <c r="C71" s="15" t="n">
        <v>46050</v>
      </c>
      <c r="D71" t="n">
        <v>4</v>
      </c>
      <c r="E71" t="n">
        <v>9006</v>
      </c>
      <c r="F71" t="n">
        <v>17</v>
      </c>
    </row>
    <row r="72">
      <c r="B72" t="n">
        <v>70070</v>
      </c>
      <c r="C72" s="15" t="n">
        <v>46131</v>
      </c>
      <c r="D72" t="n">
        <v>3</v>
      </c>
      <c r="E72" t="n">
        <v>9005</v>
      </c>
      <c r="F72" t="n">
        <v>23</v>
      </c>
    </row>
    <row r="73">
      <c r="B73" t="n">
        <v>70071</v>
      </c>
      <c r="C73" s="15" t="n">
        <v>46043</v>
      </c>
      <c r="D73" t="n">
        <v>3</v>
      </c>
      <c r="E73" t="n">
        <v>9004</v>
      </c>
      <c r="F73" t="n">
        <v>17</v>
      </c>
    </row>
    <row r="74">
      <c r="B74" t="n">
        <v>70072</v>
      </c>
      <c r="C74" s="15" t="n">
        <v>46109</v>
      </c>
      <c r="D74" t="n">
        <v>6</v>
      </c>
      <c r="E74" t="n">
        <v>9001</v>
      </c>
      <c r="F74" t="n">
        <v>19</v>
      </c>
    </row>
    <row r="75">
      <c r="B75" t="n">
        <v>70073</v>
      </c>
      <c r="C75" s="15" t="n">
        <v>46128</v>
      </c>
      <c r="D75" t="n">
        <v>2</v>
      </c>
      <c r="E75" t="n">
        <v>9010</v>
      </c>
      <c r="F75" t="n">
        <v>6</v>
      </c>
    </row>
    <row r="76">
      <c r="B76" t="n">
        <v>70074</v>
      </c>
      <c r="C76" s="15" t="n">
        <v>46162</v>
      </c>
      <c r="D76" t="n">
        <v>6</v>
      </c>
      <c r="E76" t="n">
        <v>9011</v>
      </c>
      <c r="F76" t="n">
        <v>5</v>
      </c>
    </row>
    <row r="77">
      <c r="B77" t="n">
        <v>70075</v>
      </c>
      <c r="C77" s="15" t="n">
        <v>46169</v>
      </c>
      <c r="D77" t="n">
        <v>1</v>
      </c>
      <c r="E77" t="n">
        <v>9010</v>
      </c>
      <c r="F77" t="n">
        <v>5</v>
      </c>
    </row>
    <row r="78">
      <c r="B78" t="n">
        <v>70076</v>
      </c>
      <c r="C78" s="15" t="n">
        <v>46167</v>
      </c>
      <c r="D78" t="n">
        <v>6</v>
      </c>
      <c r="E78" t="n">
        <v>9004</v>
      </c>
      <c r="F78" t="n">
        <v>6</v>
      </c>
    </row>
    <row r="79">
      <c r="B79" t="n">
        <v>70077</v>
      </c>
      <c r="C79" s="15" t="n">
        <v>46140</v>
      </c>
      <c r="D79" t="n">
        <v>6</v>
      </c>
      <c r="E79" t="n">
        <v>9009</v>
      </c>
      <c r="F79" t="n">
        <v>25</v>
      </c>
    </row>
    <row r="80">
      <c r="B80" t="n">
        <v>70078</v>
      </c>
      <c r="C80" s="15" t="n">
        <v>46161</v>
      </c>
      <c r="D80" t="n">
        <v>2</v>
      </c>
      <c r="E80" t="n">
        <v>9006</v>
      </c>
      <c r="F80" t="n">
        <v>23</v>
      </c>
    </row>
    <row r="81">
      <c r="B81" t="n">
        <v>70079</v>
      </c>
      <c r="C81" s="15" t="n">
        <v>46114</v>
      </c>
      <c r="D81" t="n">
        <v>5</v>
      </c>
      <c r="E81" t="n">
        <v>9009</v>
      </c>
      <c r="F81" t="n">
        <v>20</v>
      </c>
    </row>
    <row r="82">
      <c r="B82" t="n">
        <v>70080</v>
      </c>
      <c r="C82" s="15" t="n">
        <v>46187</v>
      </c>
      <c r="D82" t="n">
        <v>1</v>
      </c>
      <c r="E82" t="n">
        <v>9006</v>
      </c>
      <c r="F82" t="n">
        <v>12</v>
      </c>
    </row>
    <row r="83">
      <c r="B83" t="n">
        <v>70081</v>
      </c>
      <c r="C83" s="15" t="n">
        <v>46033</v>
      </c>
      <c r="D83" t="n">
        <v>5</v>
      </c>
      <c r="E83" t="n">
        <v>9001</v>
      </c>
      <c r="F83" t="n">
        <v>20</v>
      </c>
    </row>
    <row r="84">
      <c r="B84" t="n">
        <v>70082</v>
      </c>
      <c r="C84" s="15" t="n">
        <v>46098</v>
      </c>
      <c r="D84" t="n">
        <v>5</v>
      </c>
      <c r="E84" t="n">
        <v>9004</v>
      </c>
      <c r="F84" t="n">
        <v>7</v>
      </c>
    </row>
    <row r="85">
      <c r="B85" t="n">
        <v>70083</v>
      </c>
      <c r="C85" s="15" t="n">
        <v>46114</v>
      </c>
      <c r="D85" t="n">
        <v>4</v>
      </c>
      <c r="E85" t="n">
        <v>9012</v>
      </c>
      <c r="F85" t="n">
        <v>19</v>
      </c>
    </row>
    <row r="86">
      <c r="B86" t="n">
        <v>70084</v>
      </c>
      <c r="C86" s="15" t="n">
        <v>46095</v>
      </c>
      <c r="D86" t="n">
        <v>4</v>
      </c>
      <c r="E86" t="n">
        <v>9001</v>
      </c>
      <c r="F86" t="n">
        <v>3</v>
      </c>
    </row>
    <row r="87">
      <c r="B87" t="n">
        <v>70085</v>
      </c>
      <c r="C87" s="15" t="n">
        <v>46198</v>
      </c>
      <c r="D87" t="n">
        <v>2</v>
      </c>
      <c r="E87" t="n">
        <v>9006</v>
      </c>
      <c r="F87" t="n">
        <v>16</v>
      </c>
    </row>
    <row r="88">
      <c r="B88" t="n">
        <v>70086</v>
      </c>
      <c r="C88" s="15" t="n">
        <v>46050</v>
      </c>
      <c r="D88" t="n">
        <v>2</v>
      </c>
      <c r="E88" t="n">
        <v>9011</v>
      </c>
      <c r="F88" t="n">
        <v>23</v>
      </c>
    </row>
    <row r="89">
      <c r="B89" t="n">
        <v>70087</v>
      </c>
      <c r="C89" s="15" t="n">
        <v>46095</v>
      </c>
      <c r="D89" t="n">
        <v>3</v>
      </c>
      <c r="E89" t="n">
        <v>9012</v>
      </c>
      <c r="F89" t="n">
        <v>19</v>
      </c>
    </row>
    <row r="90">
      <c r="B90" t="n">
        <v>70088</v>
      </c>
      <c r="C90" s="15" t="n">
        <v>46029</v>
      </c>
      <c r="D90" t="n">
        <v>1</v>
      </c>
      <c r="E90" t="n">
        <v>9003</v>
      </c>
      <c r="F90" t="n">
        <v>21</v>
      </c>
    </row>
    <row r="91">
      <c r="B91" t="n">
        <v>70089</v>
      </c>
      <c r="C91" s="15" t="n">
        <v>46166</v>
      </c>
      <c r="D91" t="n">
        <v>5</v>
      </c>
      <c r="E91" t="n">
        <v>9004</v>
      </c>
      <c r="F91" t="n">
        <v>20</v>
      </c>
    </row>
    <row r="92">
      <c r="B92" t="n">
        <v>70090</v>
      </c>
      <c r="C92" s="15" t="n">
        <v>46182</v>
      </c>
      <c r="D92" t="n">
        <v>5</v>
      </c>
      <c r="E92" t="n">
        <v>9003</v>
      </c>
      <c r="F92" t="n">
        <v>5</v>
      </c>
    </row>
    <row r="93">
      <c r="B93" t="n">
        <v>70091</v>
      </c>
      <c r="C93" s="15" t="n">
        <v>46157</v>
      </c>
      <c r="D93" t="n">
        <v>6</v>
      </c>
      <c r="E93" t="n">
        <v>9011</v>
      </c>
      <c r="F93" t="n">
        <v>2</v>
      </c>
    </row>
    <row r="94">
      <c r="B94" t="n">
        <v>70092</v>
      </c>
      <c r="C94" s="15" t="n">
        <v>46091</v>
      </c>
      <c r="D94" t="n">
        <v>5</v>
      </c>
      <c r="E94" t="n">
        <v>9006</v>
      </c>
      <c r="F94" t="n">
        <v>24</v>
      </c>
    </row>
    <row r="95">
      <c r="B95" t="n">
        <v>70093</v>
      </c>
      <c r="C95" s="15" t="n">
        <v>46089</v>
      </c>
      <c r="D95" t="n">
        <v>4</v>
      </c>
      <c r="E95" t="n">
        <v>9007</v>
      </c>
      <c r="F95" t="n">
        <v>25</v>
      </c>
    </row>
    <row r="96">
      <c r="B96" t="n">
        <v>70094</v>
      </c>
      <c r="C96" s="15" t="n">
        <v>46151</v>
      </c>
      <c r="D96" t="n">
        <v>1</v>
      </c>
      <c r="E96" t="n">
        <v>9005</v>
      </c>
      <c r="F96" t="n">
        <v>11</v>
      </c>
    </row>
    <row r="97">
      <c r="B97" t="n">
        <v>70095</v>
      </c>
      <c r="C97" s="15" t="n">
        <v>46050</v>
      </c>
      <c r="D97" t="n">
        <v>5</v>
      </c>
      <c r="E97" t="n">
        <v>9002</v>
      </c>
      <c r="F97" t="n">
        <v>20</v>
      </c>
    </row>
    <row r="98">
      <c r="B98" t="n">
        <v>70096</v>
      </c>
      <c r="C98" s="15" t="n">
        <v>46154</v>
      </c>
      <c r="D98" t="n">
        <v>5</v>
      </c>
      <c r="E98" t="n">
        <v>9004</v>
      </c>
      <c r="F98" t="n">
        <v>19</v>
      </c>
    </row>
    <row r="99">
      <c r="B99" t="n">
        <v>70097</v>
      </c>
      <c r="C99" s="15" t="n">
        <v>46093</v>
      </c>
      <c r="D99" t="n">
        <v>2</v>
      </c>
      <c r="E99" t="n">
        <v>9009</v>
      </c>
      <c r="F99" t="n">
        <v>11</v>
      </c>
    </row>
    <row r="100">
      <c r="B100" t="n">
        <v>70098</v>
      </c>
      <c r="C100" s="15" t="n">
        <v>46179</v>
      </c>
      <c r="D100" t="n">
        <v>6</v>
      </c>
      <c r="E100" t="n">
        <v>9005</v>
      </c>
      <c r="F100" t="n">
        <v>23</v>
      </c>
    </row>
    <row r="101">
      <c r="B101" t="n">
        <v>70099</v>
      </c>
      <c r="C101" s="15" t="n">
        <v>46165</v>
      </c>
      <c r="D101" t="n">
        <v>2</v>
      </c>
      <c r="E101" t="n">
        <v>9008</v>
      </c>
      <c r="F101" t="n">
        <v>1</v>
      </c>
    </row>
    <row r="102">
      <c r="B102" t="n">
        <v>70100</v>
      </c>
      <c r="C102" s="15" t="n">
        <v>46121</v>
      </c>
      <c r="D102" t="n">
        <v>2</v>
      </c>
      <c r="E102" t="n">
        <v>9007</v>
      </c>
      <c r="F102" t="n">
        <v>7</v>
      </c>
    </row>
    <row r="103">
      <c r="B103" t="n">
        <v>70101</v>
      </c>
      <c r="C103" s="15" t="n">
        <v>46192</v>
      </c>
      <c r="D103" t="n">
        <v>2</v>
      </c>
      <c r="E103" t="n">
        <v>9012</v>
      </c>
      <c r="F103" t="n">
        <v>12</v>
      </c>
    </row>
    <row r="104">
      <c r="B104" t="n">
        <v>70102</v>
      </c>
      <c r="C104" s="15" t="n">
        <v>46161</v>
      </c>
      <c r="D104" t="n">
        <v>5</v>
      </c>
      <c r="E104" t="n">
        <v>9007</v>
      </c>
      <c r="F104" t="n">
        <v>16</v>
      </c>
    </row>
    <row r="105">
      <c r="B105" t="n">
        <v>70103</v>
      </c>
      <c r="C105" s="15" t="n">
        <v>46136</v>
      </c>
      <c r="D105" t="n">
        <v>4</v>
      </c>
      <c r="E105" t="n">
        <v>9008</v>
      </c>
      <c r="F105" t="n">
        <v>17</v>
      </c>
    </row>
    <row r="106">
      <c r="B106" t="n">
        <v>70104</v>
      </c>
      <c r="C106" s="15" t="n">
        <v>46146</v>
      </c>
      <c r="D106" t="n">
        <v>6</v>
      </c>
      <c r="E106" t="n">
        <v>9012</v>
      </c>
      <c r="F106" t="n">
        <v>12</v>
      </c>
    </row>
    <row r="107">
      <c r="B107" t="n">
        <v>70105</v>
      </c>
      <c r="C107" s="15" t="n">
        <v>46139</v>
      </c>
      <c r="D107" t="n">
        <v>6</v>
      </c>
      <c r="E107" t="n">
        <v>9012</v>
      </c>
      <c r="F107" t="n">
        <v>17</v>
      </c>
    </row>
    <row r="108">
      <c r="B108" t="n">
        <v>70106</v>
      </c>
      <c r="C108" s="15" t="n">
        <v>46128</v>
      </c>
      <c r="D108" t="n">
        <v>2</v>
      </c>
      <c r="E108" t="n">
        <v>9010</v>
      </c>
      <c r="F108" t="n">
        <v>4</v>
      </c>
    </row>
    <row r="109">
      <c r="B109" t="n">
        <v>70107</v>
      </c>
      <c r="C109" s="15" t="n">
        <v>46079</v>
      </c>
      <c r="D109" t="n">
        <v>5</v>
      </c>
      <c r="E109" t="n">
        <v>9002</v>
      </c>
      <c r="F109" t="n">
        <v>18</v>
      </c>
    </row>
    <row r="110">
      <c r="B110" t="n">
        <v>70108</v>
      </c>
      <c r="C110" s="15" t="n">
        <v>46033</v>
      </c>
      <c r="D110" t="n">
        <v>2</v>
      </c>
      <c r="E110" t="n">
        <v>9005</v>
      </c>
      <c r="F110" t="n">
        <v>23</v>
      </c>
    </row>
    <row r="111">
      <c r="B111" t="n">
        <v>70109</v>
      </c>
      <c r="C111" s="15" t="n">
        <v>46154</v>
      </c>
      <c r="D111" t="n">
        <v>3</v>
      </c>
      <c r="E111" t="n">
        <v>9007</v>
      </c>
      <c r="F111" t="n">
        <v>23</v>
      </c>
    </row>
    <row r="112">
      <c r="B112" t="n">
        <v>70110</v>
      </c>
      <c r="C112" s="15" t="n">
        <v>46158</v>
      </c>
      <c r="D112" t="n">
        <v>5</v>
      </c>
      <c r="E112" t="n">
        <v>9007</v>
      </c>
      <c r="F112" t="n">
        <v>7</v>
      </c>
    </row>
    <row r="113">
      <c r="B113" t="n">
        <v>70111</v>
      </c>
      <c r="C113" s="15" t="n">
        <v>46096</v>
      </c>
      <c r="D113" t="n">
        <v>6</v>
      </c>
      <c r="E113" t="n">
        <v>9011</v>
      </c>
      <c r="F113" t="n">
        <v>15</v>
      </c>
    </row>
    <row r="114">
      <c r="B114" t="n">
        <v>70112</v>
      </c>
      <c r="C114" s="15" t="n">
        <v>46115</v>
      </c>
      <c r="D114" t="n">
        <v>1</v>
      </c>
      <c r="E114" t="n">
        <v>9009</v>
      </c>
      <c r="F114" t="n">
        <v>18</v>
      </c>
    </row>
    <row r="115">
      <c r="B115" t="n">
        <v>70113</v>
      </c>
      <c r="C115" s="15" t="n">
        <v>46153</v>
      </c>
      <c r="D115" t="n">
        <v>2</v>
      </c>
      <c r="E115" t="n">
        <v>9002</v>
      </c>
      <c r="F115" t="n">
        <v>6</v>
      </c>
    </row>
    <row r="116">
      <c r="B116" t="n">
        <v>70114</v>
      </c>
      <c r="C116" s="15" t="n">
        <v>46180</v>
      </c>
      <c r="D116" t="n">
        <v>4</v>
      </c>
      <c r="E116" t="n">
        <v>9003</v>
      </c>
      <c r="F116" t="n">
        <v>9</v>
      </c>
    </row>
    <row r="117">
      <c r="B117" t="n">
        <v>70115</v>
      </c>
      <c r="C117" s="15" t="n">
        <v>46184</v>
      </c>
      <c r="D117" t="n">
        <v>1</v>
      </c>
      <c r="E117" t="n">
        <v>9005</v>
      </c>
      <c r="F117" t="n">
        <v>6</v>
      </c>
    </row>
    <row r="118">
      <c r="B118" t="n">
        <v>70116</v>
      </c>
      <c r="C118" s="15" t="n">
        <v>46048</v>
      </c>
      <c r="D118" t="n">
        <v>1</v>
      </c>
      <c r="E118" t="n">
        <v>9010</v>
      </c>
      <c r="F118" t="n">
        <v>2</v>
      </c>
    </row>
    <row r="119">
      <c r="B119" t="n">
        <v>70117</v>
      </c>
      <c r="C119" s="15" t="n">
        <v>46092</v>
      </c>
      <c r="D119" t="n">
        <v>3</v>
      </c>
      <c r="E119" t="n">
        <v>9011</v>
      </c>
      <c r="F119" t="n">
        <v>14</v>
      </c>
    </row>
    <row r="120">
      <c r="B120" t="n">
        <v>70118</v>
      </c>
      <c r="C120" s="15" t="n">
        <v>46192</v>
      </c>
      <c r="D120" t="n">
        <v>5</v>
      </c>
      <c r="E120" t="n">
        <v>9005</v>
      </c>
      <c r="F120" t="n">
        <v>14</v>
      </c>
    </row>
    <row r="121">
      <c r="B121" t="n">
        <v>70119</v>
      </c>
      <c r="C121" s="15" t="n">
        <v>46113</v>
      </c>
      <c r="D121" t="n">
        <v>2</v>
      </c>
      <c r="E121" t="n">
        <v>9011</v>
      </c>
      <c r="F121" t="n">
        <v>13</v>
      </c>
    </row>
    <row r="122">
      <c r="B122" t="n">
        <v>70120</v>
      </c>
      <c r="C122" s="15" t="n">
        <v>46108</v>
      </c>
      <c r="D122" t="n">
        <v>5</v>
      </c>
      <c r="E122" t="n">
        <v>9005</v>
      </c>
      <c r="F122" t="n">
        <v>20</v>
      </c>
    </row>
    <row r="123">
      <c r="B123" t="n">
        <v>70121</v>
      </c>
      <c r="C123" s="15" t="n">
        <v>46058</v>
      </c>
      <c r="D123" t="n">
        <v>3</v>
      </c>
      <c r="E123" t="n">
        <v>9012</v>
      </c>
      <c r="F123" t="n">
        <v>20</v>
      </c>
    </row>
    <row r="124">
      <c r="B124" t="n">
        <v>70122</v>
      </c>
      <c r="C124" s="15" t="n">
        <v>46157</v>
      </c>
      <c r="D124" t="n">
        <v>5</v>
      </c>
      <c r="E124" t="n">
        <v>9004</v>
      </c>
      <c r="F124" t="n">
        <v>15</v>
      </c>
    </row>
    <row r="125">
      <c r="B125" t="n">
        <v>70123</v>
      </c>
      <c r="C125" s="15" t="n">
        <v>46151</v>
      </c>
      <c r="D125" t="n">
        <v>5</v>
      </c>
      <c r="E125" t="n">
        <v>9007</v>
      </c>
      <c r="F125" t="n">
        <v>11</v>
      </c>
    </row>
    <row r="126">
      <c r="B126" t="n">
        <v>70124</v>
      </c>
      <c r="C126" s="15" t="n">
        <v>46192</v>
      </c>
      <c r="D126" t="n">
        <v>4</v>
      </c>
      <c r="E126" t="n">
        <v>9007</v>
      </c>
      <c r="F126" t="n">
        <v>9</v>
      </c>
    </row>
    <row r="127">
      <c r="B127" t="n">
        <v>70125</v>
      </c>
      <c r="C127" s="15" t="n">
        <v>46087</v>
      </c>
      <c r="D127" t="n">
        <v>3</v>
      </c>
      <c r="E127" t="n">
        <v>9008</v>
      </c>
      <c r="F127" t="n">
        <v>8</v>
      </c>
    </row>
    <row r="128">
      <c r="B128" t="n">
        <v>70126</v>
      </c>
      <c r="C128" s="15" t="n">
        <v>46030</v>
      </c>
      <c r="D128" t="n">
        <v>4</v>
      </c>
      <c r="E128" t="n">
        <v>9003</v>
      </c>
      <c r="F128" t="n">
        <v>6</v>
      </c>
    </row>
    <row r="129">
      <c r="B129" t="n">
        <v>70127</v>
      </c>
      <c r="C129" s="15" t="n">
        <v>46191</v>
      </c>
      <c r="D129" t="n">
        <v>5</v>
      </c>
      <c r="E129" t="n">
        <v>9010</v>
      </c>
      <c r="F129" t="n">
        <v>12</v>
      </c>
    </row>
    <row r="130">
      <c r="B130" t="n">
        <v>70128</v>
      </c>
      <c r="C130" s="15" t="n">
        <v>46040</v>
      </c>
      <c r="D130" t="n">
        <v>4</v>
      </c>
      <c r="E130" t="n">
        <v>9004</v>
      </c>
      <c r="F130" t="n">
        <v>15</v>
      </c>
    </row>
    <row r="131">
      <c r="B131" t="n">
        <v>70129</v>
      </c>
      <c r="C131" s="15" t="n">
        <v>46176</v>
      </c>
      <c r="D131" t="n">
        <v>1</v>
      </c>
      <c r="E131" t="n">
        <v>9007</v>
      </c>
      <c r="F131" t="n">
        <v>23</v>
      </c>
    </row>
    <row r="132">
      <c r="B132" t="n">
        <v>70130</v>
      </c>
      <c r="C132" s="15" t="n">
        <v>46135</v>
      </c>
      <c r="D132" t="n">
        <v>2</v>
      </c>
      <c r="E132" t="n">
        <v>9002</v>
      </c>
      <c r="F132" t="n">
        <v>21</v>
      </c>
    </row>
    <row r="133">
      <c r="B133" t="n">
        <v>70131</v>
      </c>
      <c r="C133" s="15" t="n">
        <v>46076</v>
      </c>
      <c r="D133" t="n">
        <v>4</v>
      </c>
      <c r="E133" t="n">
        <v>9008</v>
      </c>
      <c r="F133" t="n">
        <v>25</v>
      </c>
    </row>
    <row r="134">
      <c r="B134" t="n">
        <v>70132</v>
      </c>
      <c r="C134" s="15" t="n">
        <v>46159</v>
      </c>
      <c r="D134" t="n">
        <v>5</v>
      </c>
      <c r="E134" t="n">
        <v>9005</v>
      </c>
      <c r="F134" t="n">
        <v>11</v>
      </c>
    </row>
    <row r="135">
      <c r="B135" t="n">
        <v>70133</v>
      </c>
      <c r="C135" s="15" t="n">
        <v>46032</v>
      </c>
      <c r="D135" t="n">
        <v>6</v>
      </c>
      <c r="E135" t="n">
        <v>9008</v>
      </c>
      <c r="F135" t="n">
        <v>22</v>
      </c>
    </row>
    <row r="136">
      <c r="B136" t="n">
        <v>70134</v>
      </c>
      <c r="C136" s="15" t="n">
        <v>46058</v>
      </c>
      <c r="D136" t="n">
        <v>5</v>
      </c>
      <c r="E136" t="n">
        <v>9001</v>
      </c>
      <c r="F136" t="n">
        <v>6</v>
      </c>
    </row>
    <row r="137">
      <c r="B137" t="n">
        <v>70135</v>
      </c>
      <c r="C137" s="15" t="n">
        <v>46147</v>
      </c>
      <c r="D137" t="n">
        <v>4</v>
      </c>
      <c r="E137" t="n">
        <v>9007</v>
      </c>
      <c r="F137" t="n">
        <v>6</v>
      </c>
    </row>
    <row r="138">
      <c r="B138" t="n">
        <v>70136</v>
      </c>
      <c r="C138" s="15" t="n">
        <v>46168</v>
      </c>
      <c r="D138" t="n">
        <v>1</v>
      </c>
      <c r="E138" t="n">
        <v>9005</v>
      </c>
      <c r="F138" t="n">
        <v>16</v>
      </c>
    </row>
    <row r="139">
      <c r="B139" t="n">
        <v>70137</v>
      </c>
      <c r="C139" s="15" t="n">
        <v>46109</v>
      </c>
      <c r="D139" t="n">
        <v>5</v>
      </c>
      <c r="E139" t="n">
        <v>9006</v>
      </c>
      <c r="F139" t="n">
        <v>5</v>
      </c>
    </row>
    <row r="140">
      <c r="B140" t="n">
        <v>70138</v>
      </c>
      <c r="C140" s="15" t="n">
        <v>46109</v>
      </c>
      <c r="D140" t="n">
        <v>6</v>
      </c>
      <c r="E140" t="n">
        <v>9007</v>
      </c>
      <c r="F140" t="n">
        <v>16</v>
      </c>
    </row>
    <row r="141">
      <c r="B141" t="n">
        <v>70139</v>
      </c>
      <c r="C141" s="15" t="n">
        <v>46120</v>
      </c>
      <c r="D141" t="n">
        <v>2</v>
      </c>
      <c r="E141" t="n">
        <v>9006</v>
      </c>
      <c r="F141" t="n">
        <v>3</v>
      </c>
    </row>
    <row r="142">
      <c r="B142" t="n">
        <v>70140</v>
      </c>
      <c r="C142" s="15" t="n">
        <v>46031</v>
      </c>
      <c r="D142" t="n">
        <v>2</v>
      </c>
      <c r="E142" t="n">
        <v>9008</v>
      </c>
      <c r="F142" t="n">
        <v>25</v>
      </c>
    </row>
    <row r="143">
      <c r="B143" t="n">
        <v>70141</v>
      </c>
      <c r="C143" s="15" t="n">
        <v>46086</v>
      </c>
      <c r="D143" t="n">
        <v>6</v>
      </c>
      <c r="E143" t="n">
        <v>9003</v>
      </c>
      <c r="F143" t="n">
        <v>18</v>
      </c>
    </row>
    <row r="144">
      <c r="B144" t="n">
        <v>70142</v>
      </c>
      <c r="C144" s="15" t="n">
        <v>46159</v>
      </c>
      <c r="D144" t="n">
        <v>2</v>
      </c>
      <c r="E144" t="n">
        <v>9007</v>
      </c>
      <c r="F144" t="n">
        <v>7</v>
      </c>
    </row>
    <row r="145">
      <c r="B145" t="n">
        <v>70143</v>
      </c>
      <c r="C145" s="15" t="n">
        <v>46195</v>
      </c>
      <c r="D145" t="n">
        <v>2</v>
      </c>
      <c r="E145" t="n">
        <v>9003</v>
      </c>
      <c r="F145" t="n">
        <v>11</v>
      </c>
    </row>
    <row r="146">
      <c r="B146" t="n">
        <v>70144</v>
      </c>
      <c r="C146" s="15" t="n">
        <v>46039</v>
      </c>
      <c r="D146" t="n">
        <v>4</v>
      </c>
      <c r="E146" t="n">
        <v>9010</v>
      </c>
      <c r="F146" t="n">
        <v>22</v>
      </c>
    </row>
    <row r="147">
      <c r="B147" t="n">
        <v>70145</v>
      </c>
      <c r="C147" s="15" t="n">
        <v>46080</v>
      </c>
      <c r="D147" t="n">
        <v>2</v>
      </c>
      <c r="E147" t="n">
        <v>9006</v>
      </c>
      <c r="F147" t="n">
        <v>21</v>
      </c>
    </row>
    <row r="148">
      <c r="B148" t="n">
        <v>70146</v>
      </c>
      <c r="C148" s="15" t="n">
        <v>46108</v>
      </c>
      <c r="D148" t="n">
        <v>1</v>
      </c>
      <c r="E148" t="n">
        <v>9009</v>
      </c>
      <c r="F148" t="n">
        <v>1</v>
      </c>
    </row>
    <row r="149">
      <c r="B149" t="n">
        <v>70147</v>
      </c>
      <c r="C149" s="15" t="n">
        <v>46036</v>
      </c>
      <c r="D149" t="n">
        <v>2</v>
      </c>
      <c r="E149" t="n">
        <v>9008</v>
      </c>
      <c r="F149" t="n">
        <v>22</v>
      </c>
    </row>
    <row r="150">
      <c r="B150" t="n">
        <v>70148</v>
      </c>
      <c r="C150" s="15" t="n">
        <v>46102</v>
      </c>
      <c r="D150" t="n">
        <v>4</v>
      </c>
      <c r="E150" t="n">
        <v>9007</v>
      </c>
      <c r="F150" t="n">
        <v>14</v>
      </c>
    </row>
    <row r="151">
      <c r="B151" t="n">
        <v>70149</v>
      </c>
      <c r="C151" s="15" t="n">
        <v>46167</v>
      </c>
      <c r="D151" t="n">
        <v>5</v>
      </c>
      <c r="E151" t="n">
        <v>9010</v>
      </c>
      <c r="F151" t="n">
        <v>8</v>
      </c>
    </row>
    <row r="152">
      <c r="B152" t="n">
        <v>70150</v>
      </c>
      <c r="C152" s="15" t="n">
        <v>46122</v>
      </c>
      <c r="D152" t="n">
        <v>6</v>
      </c>
      <c r="E152" t="n">
        <v>9010</v>
      </c>
      <c r="F152" t="n">
        <v>19</v>
      </c>
    </row>
    <row r="153">
      <c r="B153" t="n">
        <v>70151</v>
      </c>
      <c r="C153" s="15" t="n">
        <v>46032</v>
      </c>
      <c r="D153" t="n">
        <v>5</v>
      </c>
      <c r="E153" t="n">
        <v>9008</v>
      </c>
      <c r="F153" t="n">
        <v>1</v>
      </c>
    </row>
    <row r="154">
      <c r="B154" t="n">
        <v>70152</v>
      </c>
      <c r="C154" s="15" t="n">
        <v>46131</v>
      </c>
      <c r="D154" t="n">
        <v>5</v>
      </c>
      <c r="E154" t="n">
        <v>9012</v>
      </c>
      <c r="F154" t="n">
        <v>4</v>
      </c>
    </row>
    <row r="155">
      <c r="B155" t="n">
        <v>70153</v>
      </c>
      <c r="C155" s="15" t="n">
        <v>46055</v>
      </c>
      <c r="D155" t="n">
        <v>4</v>
      </c>
      <c r="E155" t="n">
        <v>9004</v>
      </c>
      <c r="F155" t="n">
        <v>14</v>
      </c>
    </row>
    <row r="156">
      <c r="B156" t="n">
        <v>70154</v>
      </c>
      <c r="C156" s="15" t="n">
        <v>46118</v>
      </c>
      <c r="D156" t="n">
        <v>4</v>
      </c>
      <c r="E156" t="n">
        <v>9007</v>
      </c>
      <c r="F156" t="n">
        <v>4</v>
      </c>
    </row>
    <row r="157">
      <c r="B157" t="n">
        <v>70155</v>
      </c>
      <c r="C157" s="15" t="n">
        <v>46185</v>
      </c>
      <c r="D157" t="n">
        <v>5</v>
      </c>
      <c r="E157" t="n">
        <v>9003</v>
      </c>
      <c r="F157" t="n">
        <v>3</v>
      </c>
    </row>
    <row r="158">
      <c r="B158" t="n">
        <v>70156</v>
      </c>
      <c r="C158" s="15" t="n">
        <v>46079</v>
      </c>
      <c r="D158" t="n">
        <v>6</v>
      </c>
      <c r="E158" t="n">
        <v>9003</v>
      </c>
      <c r="F158" t="n">
        <v>25</v>
      </c>
    </row>
    <row r="159">
      <c r="B159" t="n">
        <v>70157</v>
      </c>
      <c r="C159" s="15" t="n">
        <v>46027</v>
      </c>
      <c r="D159" t="n">
        <v>5</v>
      </c>
      <c r="E159" t="n">
        <v>9002</v>
      </c>
      <c r="F159" t="n">
        <v>13</v>
      </c>
    </row>
    <row r="160">
      <c r="B160" t="n">
        <v>70158</v>
      </c>
      <c r="C160" s="15" t="n">
        <v>46034</v>
      </c>
      <c r="D160" t="n">
        <v>6</v>
      </c>
      <c r="E160" t="n">
        <v>9005</v>
      </c>
      <c r="F160" t="n">
        <v>17</v>
      </c>
    </row>
    <row r="161">
      <c r="B161" t="n">
        <v>70159</v>
      </c>
      <c r="C161" s="15" t="n">
        <v>46190</v>
      </c>
      <c r="D161" t="n">
        <v>1</v>
      </c>
      <c r="E161" t="n">
        <v>9009</v>
      </c>
      <c r="F161" t="n">
        <v>9</v>
      </c>
    </row>
    <row r="162">
      <c r="B162" t="n">
        <v>70160</v>
      </c>
      <c r="C162" s="15" t="n">
        <v>46113</v>
      </c>
      <c r="D162" t="n">
        <v>1</v>
      </c>
      <c r="E162" t="n">
        <v>9001</v>
      </c>
      <c r="F162" t="n">
        <v>14</v>
      </c>
    </row>
    <row r="163">
      <c r="B163" t="n">
        <v>70161</v>
      </c>
      <c r="C163" s="15" t="n">
        <v>46081</v>
      </c>
      <c r="D163" t="n">
        <v>3</v>
      </c>
      <c r="E163" t="n">
        <v>9012</v>
      </c>
      <c r="F163" t="n">
        <v>6</v>
      </c>
    </row>
    <row r="164">
      <c r="B164" t="n">
        <v>70162</v>
      </c>
      <c r="C164" s="15" t="n">
        <v>46032</v>
      </c>
      <c r="D164" t="n">
        <v>4</v>
      </c>
      <c r="E164" t="n">
        <v>9010</v>
      </c>
      <c r="F164" t="n">
        <v>19</v>
      </c>
    </row>
    <row r="165">
      <c r="B165" t="n">
        <v>70163</v>
      </c>
      <c r="C165" s="15" t="n">
        <v>46062</v>
      </c>
      <c r="D165" t="n">
        <v>4</v>
      </c>
      <c r="E165" t="n">
        <v>9004</v>
      </c>
      <c r="F165" t="n">
        <v>15</v>
      </c>
    </row>
    <row r="166">
      <c r="B166" t="n">
        <v>70164</v>
      </c>
      <c r="C166" s="15" t="n">
        <v>46183</v>
      </c>
      <c r="D166" t="n">
        <v>4</v>
      </c>
      <c r="E166" t="n">
        <v>9003</v>
      </c>
      <c r="F166" t="n">
        <v>21</v>
      </c>
    </row>
    <row r="167">
      <c r="B167" t="n">
        <v>70165</v>
      </c>
      <c r="C167" s="15" t="n">
        <v>46184</v>
      </c>
      <c r="D167" t="n">
        <v>1</v>
      </c>
      <c r="E167" t="n">
        <v>9009</v>
      </c>
      <c r="F167" t="n">
        <v>10</v>
      </c>
    </row>
    <row r="168">
      <c r="B168" t="n">
        <v>70166</v>
      </c>
      <c r="C168" s="15" t="n">
        <v>46076</v>
      </c>
      <c r="D168" t="n">
        <v>5</v>
      </c>
      <c r="E168" t="n">
        <v>9011</v>
      </c>
      <c r="F168" t="n">
        <v>7</v>
      </c>
    </row>
    <row r="169">
      <c r="B169" t="n">
        <v>70167</v>
      </c>
      <c r="C169" s="15" t="n">
        <v>46197</v>
      </c>
      <c r="D169" t="n">
        <v>6</v>
      </c>
      <c r="E169" t="n">
        <v>9001</v>
      </c>
      <c r="F169" t="n">
        <v>10</v>
      </c>
    </row>
    <row r="170">
      <c r="B170" t="n">
        <v>70168</v>
      </c>
      <c r="C170" s="15" t="n">
        <v>46118</v>
      </c>
      <c r="D170" t="n">
        <v>4</v>
      </c>
      <c r="E170" t="n">
        <v>9010</v>
      </c>
      <c r="F170" t="n">
        <v>1</v>
      </c>
    </row>
    <row r="171">
      <c r="B171" t="n">
        <v>70169</v>
      </c>
      <c r="C171" s="15" t="n">
        <v>46152</v>
      </c>
      <c r="D171" t="n">
        <v>6</v>
      </c>
      <c r="E171" t="n">
        <v>9007</v>
      </c>
      <c r="F171" t="n">
        <v>11</v>
      </c>
    </row>
    <row r="172">
      <c r="B172" t="n">
        <v>70170</v>
      </c>
      <c r="C172" s="15" t="n">
        <v>46187</v>
      </c>
      <c r="D172" t="n">
        <v>1</v>
      </c>
      <c r="E172" t="n">
        <v>9002</v>
      </c>
      <c r="F172" t="n">
        <v>19</v>
      </c>
    </row>
    <row r="173">
      <c r="B173" t="n">
        <v>70171</v>
      </c>
      <c r="C173" s="15" t="n">
        <v>46193</v>
      </c>
      <c r="D173" t="n">
        <v>3</v>
      </c>
      <c r="E173" t="n">
        <v>9010</v>
      </c>
      <c r="F173" t="n">
        <v>17</v>
      </c>
    </row>
    <row r="174">
      <c r="B174" t="n">
        <v>70172</v>
      </c>
      <c r="C174" s="15" t="n">
        <v>46129</v>
      </c>
      <c r="D174" t="n">
        <v>6</v>
      </c>
      <c r="E174" t="n">
        <v>9001</v>
      </c>
      <c r="F174" t="n">
        <v>14</v>
      </c>
    </row>
    <row r="175">
      <c r="B175" t="n">
        <v>70173</v>
      </c>
      <c r="C175" s="15" t="n">
        <v>46159</v>
      </c>
      <c r="D175" t="n">
        <v>4</v>
      </c>
      <c r="E175" t="n">
        <v>9003</v>
      </c>
      <c r="F175" t="n">
        <v>4</v>
      </c>
    </row>
    <row r="176">
      <c r="B176" t="n">
        <v>70174</v>
      </c>
      <c r="C176" s="15" t="n">
        <v>46160</v>
      </c>
      <c r="D176" t="n">
        <v>6</v>
      </c>
      <c r="E176" t="n">
        <v>9006</v>
      </c>
      <c r="F176" t="n">
        <v>19</v>
      </c>
    </row>
    <row r="177">
      <c r="B177" t="n">
        <v>70175</v>
      </c>
      <c r="C177" s="15" t="n">
        <v>46035</v>
      </c>
      <c r="D177" t="n">
        <v>6</v>
      </c>
      <c r="E177" t="n">
        <v>9004</v>
      </c>
      <c r="F177" t="n">
        <v>17</v>
      </c>
    </row>
    <row r="178">
      <c r="B178" t="n">
        <v>70176</v>
      </c>
      <c r="C178" s="15" t="n">
        <v>46147</v>
      </c>
      <c r="D178" t="n">
        <v>3</v>
      </c>
      <c r="E178" t="n">
        <v>9002</v>
      </c>
      <c r="F178" t="n">
        <v>23</v>
      </c>
    </row>
    <row r="179">
      <c r="B179" t="n">
        <v>70177</v>
      </c>
      <c r="C179" s="15" t="n">
        <v>46184</v>
      </c>
      <c r="D179" t="n">
        <v>1</v>
      </c>
      <c r="E179" t="n">
        <v>9011</v>
      </c>
      <c r="F179" t="n">
        <v>21</v>
      </c>
    </row>
    <row r="180">
      <c r="B180" t="n">
        <v>70178</v>
      </c>
      <c r="C180" s="15" t="n">
        <v>46109</v>
      </c>
      <c r="D180" t="n">
        <v>5</v>
      </c>
      <c r="E180" t="n">
        <v>9012</v>
      </c>
      <c r="F180" t="n">
        <v>16</v>
      </c>
    </row>
    <row r="181">
      <c r="B181" t="n">
        <v>70179</v>
      </c>
      <c r="C181" s="15" t="n">
        <v>46137</v>
      </c>
      <c r="D181" t="n">
        <v>1</v>
      </c>
      <c r="E181" t="n">
        <v>9002</v>
      </c>
      <c r="F181" t="n">
        <v>20</v>
      </c>
    </row>
    <row r="182">
      <c r="B182" t="n">
        <v>70180</v>
      </c>
      <c r="C182" s="15" t="n">
        <v>46041</v>
      </c>
      <c r="D182" t="n">
        <v>1</v>
      </c>
      <c r="E182" t="n">
        <v>9010</v>
      </c>
      <c r="F182" t="n">
        <v>12</v>
      </c>
    </row>
    <row r="183">
      <c r="B183" t="n">
        <v>70181</v>
      </c>
      <c r="C183" s="15" t="n">
        <v>46188</v>
      </c>
      <c r="D183" t="n">
        <v>2</v>
      </c>
      <c r="E183" t="n">
        <v>9010</v>
      </c>
      <c r="F183" t="n">
        <v>4</v>
      </c>
    </row>
    <row r="184">
      <c r="B184" t="n">
        <v>70182</v>
      </c>
      <c r="C184" s="15" t="n">
        <v>46144</v>
      </c>
      <c r="D184" t="n">
        <v>5</v>
      </c>
      <c r="E184" t="n">
        <v>9012</v>
      </c>
      <c r="F184" t="n">
        <v>6</v>
      </c>
    </row>
    <row r="185">
      <c r="B185" t="n">
        <v>70183</v>
      </c>
      <c r="C185" s="15" t="n">
        <v>46169</v>
      </c>
      <c r="D185" t="n">
        <v>5</v>
      </c>
      <c r="E185" t="n">
        <v>9005</v>
      </c>
      <c r="F185" t="n">
        <v>22</v>
      </c>
    </row>
    <row r="186">
      <c r="B186" t="n">
        <v>70184</v>
      </c>
      <c r="C186" s="15" t="n">
        <v>46144</v>
      </c>
      <c r="D186" t="n">
        <v>3</v>
      </c>
      <c r="E186" t="n">
        <v>9007</v>
      </c>
      <c r="F186" t="n">
        <v>19</v>
      </c>
    </row>
    <row r="187">
      <c r="B187" t="n">
        <v>70185</v>
      </c>
      <c r="C187" s="15" t="n">
        <v>46109</v>
      </c>
      <c r="D187" t="n">
        <v>5</v>
      </c>
      <c r="E187" t="n">
        <v>9011</v>
      </c>
      <c r="F187" t="n">
        <v>21</v>
      </c>
    </row>
    <row r="188">
      <c r="B188" t="n">
        <v>70186</v>
      </c>
      <c r="C188" s="15" t="n">
        <v>46056</v>
      </c>
      <c r="D188" t="n">
        <v>3</v>
      </c>
      <c r="E188" t="n">
        <v>9009</v>
      </c>
      <c r="F188" t="n">
        <v>24</v>
      </c>
    </row>
    <row r="189">
      <c r="B189" t="n">
        <v>70187</v>
      </c>
      <c r="C189" s="15" t="n">
        <v>46082</v>
      </c>
      <c r="D189" t="n">
        <v>2</v>
      </c>
      <c r="E189" t="n">
        <v>9009</v>
      </c>
      <c r="F189" t="n">
        <v>4</v>
      </c>
    </row>
    <row r="190">
      <c r="B190" t="n">
        <v>70188</v>
      </c>
      <c r="C190" s="15" t="n">
        <v>46099</v>
      </c>
      <c r="D190" t="n">
        <v>1</v>
      </c>
      <c r="E190" t="n">
        <v>9002</v>
      </c>
      <c r="F190" t="n">
        <v>1</v>
      </c>
    </row>
    <row r="191">
      <c r="B191" t="n">
        <v>70189</v>
      </c>
      <c r="C191" s="15" t="n">
        <v>46194</v>
      </c>
      <c r="D191" t="n">
        <v>3</v>
      </c>
      <c r="E191" t="n">
        <v>9010</v>
      </c>
      <c r="F191" t="n">
        <v>20</v>
      </c>
    </row>
    <row r="192">
      <c r="B192" t="n">
        <v>70190</v>
      </c>
      <c r="C192" s="15" t="n">
        <v>46035</v>
      </c>
      <c r="D192" t="n">
        <v>5</v>
      </c>
      <c r="E192" t="n">
        <v>9007</v>
      </c>
      <c r="F192" t="n">
        <v>25</v>
      </c>
    </row>
    <row r="193">
      <c r="B193" t="n">
        <v>70191</v>
      </c>
      <c r="C193" s="15" t="n">
        <v>46034</v>
      </c>
      <c r="D193" t="n">
        <v>1</v>
      </c>
      <c r="E193" t="n">
        <v>9008</v>
      </c>
      <c r="F193" t="n">
        <v>7</v>
      </c>
    </row>
    <row r="194">
      <c r="B194" t="n">
        <v>70192</v>
      </c>
      <c r="C194" s="15" t="n">
        <v>46124</v>
      </c>
      <c r="D194" t="n">
        <v>3</v>
      </c>
      <c r="E194" t="n">
        <v>9011</v>
      </c>
      <c r="F194" t="n">
        <v>12</v>
      </c>
    </row>
    <row r="195">
      <c r="B195" t="n">
        <v>70193</v>
      </c>
      <c r="C195" s="15" t="n">
        <v>46058</v>
      </c>
      <c r="D195" t="n">
        <v>1</v>
      </c>
      <c r="E195" t="n">
        <v>9012</v>
      </c>
      <c r="F195" t="n">
        <v>1</v>
      </c>
    </row>
    <row r="196">
      <c r="B196" t="n">
        <v>70194</v>
      </c>
      <c r="C196" s="15" t="n">
        <v>46178</v>
      </c>
      <c r="D196" t="n">
        <v>3</v>
      </c>
      <c r="E196" t="n">
        <v>9008</v>
      </c>
      <c r="F196" t="n">
        <v>23</v>
      </c>
    </row>
    <row r="197">
      <c r="B197" t="n">
        <v>70195</v>
      </c>
      <c r="C197" s="15" t="n">
        <v>46148</v>
      </c>
      <c r="D197" t="n">
        <v>1</v>
      </c>
      <c r="E197" t="n">
        <v>9002</v>
      </c>
      <c r="F197" t="n">
        <v>9</v>
      </c>
    </row>
    <row r="198">
      <c r="B198" t="n">
        <v>70196</v>
      </c>
      <c r="C198" s="15" t="n">
        <v>46162</v>
      </c>
      <c r="D198" t="n">
        <v>5</v>
      </c>
      <c r="E198" t="n">
        <v>9001</v>
      </c>
      <c r="F198" t="n">
        <v>11</v>
      </c>
    </row>
    <row r="199">
      <c r="B199" t="n">
        <v>70197</v>
      </c>
      <c r="C199" s="15" t="n">
        <v>46168</v>
      </c>
      <c r="D199" t="n">
        <v>5</v>
      </c>
      <c r="E199" t="n">
        <v>9008</v>
      </c>
      <c r="F199" t="n">
        <v>3</v>
      </c>
    </row>
    <row r="200">
      <c r="B200" t="n">
        <v>70198</v>
      </c>
      <c r="C200" s="15" t="n">
        <v>46036</v>
      </c>
      <c r="D200" t="n">
        <v>6</v>
      </c>
      <c r="E200" t="n">
        <v>9007</v>
      </c>
      <c r="F200" t="n">
        <v>12</v>
      </c>
    </row>
    <row r="201">
      <c r="B201" t="n">
        <v>70199</v>
      </c>
      <c r="C201" s="15" t="n">
        <v>46073</v>
      </c>
      <c r="D201" t="n">
        <v>2</v>
      </c>
      <c r="E201" t="n">
        <v>9006</v>
      </c>
      <c r="F201" t="n">
        <v>18</v>
      </c>
    </row>
    <row r="202">
      <c r="B202" t="n">
        <v>70200</v>
      </c>
      <c r="C202" s="15" t="n">
        <v>46118</v>
      </c>
      <c r="D202" t="n">
        <v>2</v>
      </c>
      <c r="E202" t="n">
        <v>9010</v>
      </c>
      <c r="F202" t="n">
        <v>23</v>
      </c>
    </row>
    <row r="203">
      <c r="B203" t="n">
        <v>70201</v>
      </c>
      <c r="C203" s="15" t="n">
        <v>46133</v>
      </c>
      <c r="D203" t="n">
        <v>4</v>
      </c>
      <c r="E203" t="n">
        <v>9011</v>
      </c>
      <c r="F203" t="n">
        <v>23</v>
      </c>
    </row>
    <row r="204">
      <c r="B204" t="n">
        <v>70202</v>
      </c>
      <c r="C204" s="15" t="n">
        <v>46189</v>
      </c>
      <c r="D204" t="n">
        <v>4</v>
      </c>
      <c r="E204" t="n">
        <v>9003</v>
      </c>
      <c r="F204" t="n">
        <v>17</v>
      </c>
    </row>
    <row r="205">
      <c r="B205" t="n">
        <v>70203</v>
      </c>
      <c r="C205" s="15" t="n">
        <v>46100</v>
      </c>
      <c r="D205" t="n">
        <v>5</v>
      </c>
      <c r="E205" t="n">
        <v>9012</v>
      </c>
      <c r="F205" t="n">
        <v>13</v>
      </c>
    </row>
    <row r="206">
      <c r="B206" t="n">
        <v>70204</v>
      </c>
      <c r="C206" s="15" t="n">
        <v>46086</v>
      </c>
      <c r="D206" t="n">
        <v>3</v>
      </c>
      <c r="E206" t="n">
        <v>9005</v>
      </c>
      <c r="F206" t="n">
        <v>5</v>
      </c>
    </row>
    <row r="207">
      <c r="B207" t="n">
        <v>70205</v>
      </c>
      <c r="C207" s="15" t="n">
        <v>46152</v>
      </c>
      <c r="D207" t="n">
        <v>6</v>
      </c>
      <c r="E207" t="n">
        <v>9012</v>
      </c>
      <c r="F207" t="n">
        <v>9</v>
      </c>
    </row>
    <row r="208">
      <c r="B208" t="n">
        <v>70206</v>
      </c>
      <c r="C208" s="15" t="n">
        <v>46073</v>
      </c>
      <c r="D208" t="n">
        <v>3</v>
      </c>
      <c r="E208" t="n">
        <v>9004</v>
      </c>
      <c r="F208" t="n">
        <v>6</v>
      </c>
    </row>
    <row r="209">
      <c r="B209" t="n">
        <v>70207</v>
      </c>
      <c r="C209" s="15" t="n">
        <v>46114</v>
      </c>
      <c r="D209" t="n">
        <v>5</v>
      </c>
      <c r="E209" t="n">
        <v>9011</v>
      </c>
      <c r="F209" t="n">
        <v>24</v>
      </c>
    </row>
    <row r="210">
      <c r="B210" t="n">
        <v>70208</v>
      </c>
      <c r="C210" s="15" t="n">
        <v>46034</v>
      </c>
      <c r="D210" t="n">
        <v>4</v>
      </c>
      <c r="E210" t="n">
        <v>9005</v>
      </c>
      <c r="F210" t="n">
        <v>12</v>
      </c>
    </row>
    <row r="211">
      <c r="B211" t="n">
        <v>70209</v>
      </c>
      <c r="C211" s="15" t="n">
        <v>46144</v>
      </c>
      <c r="D211" t="n">
        <v>6</v>
      </c>
      <c r="E211" t="n">
        <v>9011</v>
      </c>
      <c r="F211" t="n">
        <v>1</v>
      </c>
    </row>
    <row r="212">
      <c r="B212" t="n">
        <v>70210</v>
      </c>
      <c r="C212" s="15" t="n">
        <v>46069</v>
      </c>
      <c r="D212" t="n">
        <v>5</v>
      </c>
      <c r="E212" t="n">
        <v>9004</v>
      </c>
      <c r="F212" t="n">
        <v>10</v>
      </c>
    </row>
    <row r="213">
      <c r="B213" t="n">
        <v>70211</v>
      </c>
      <c r="C213" s="15" t="n">
        <v>46195</v>
      </c>
      <c r="D213" t="n">
        <v>4</v>
      </c>
      <c r="E213" t="n">
        <v>9011</v>
      </c>
      <c r="F213" t="n">
        <v>21</v>
      </c>
    </row>
    <row r="214">
      <c r="B214" t="n">
        <v>70212</v>
      </c>
      <c r="C214" s="15" t="n">
        <v>46126</v>
      </c>
      <c r="D214" t="n">
        <v>3</v>
      </c>
      <c r="E214" t="n">
        <v>9005</v>
      </c>
      <c r="F214" t="n">
        <v>18</v>
      </c>
    </row>
    <row r="215">
      <c r="B215" t="n">
        <v>70213</v>
      </c>
      <c r="C215" s="15" t="n">
        <v>46144</v>
      </c>
      <c r="D215" t="n">
        <v>4</v>
      </c>
      <c r="E215" t="n">
        <v>9005</v>
      </c>
      <c r="F215" t="n">
        <v>21</v>
      </c>
    </row>
    <row r="216">
      <c r="B216" t="n">
        <v>70214</v>
      </c>
      <c r="C216" s="15" t="n">
        <v>46090</v>
      </c>
      <c r="D216" t="n">
        <v>6</v>
      </c>
      <c r="E216" t="n">
        <v>9010</v>
      </c>
      <c r="F216" t="n">
        <v>20</v>
      </c>
    </row>
    <row r="217">
      <c r="B217" t="n">
        <v>70215</v>
      </c>
      <c r="C217" s="15" t="n">
        <v>46132</v>
      </c>
      <c r="D217" t="n">
        <v>3</v>
      </c>
      <c r="E217" t="n">
        <v>9004</v>
      </c>
      <c r="F217" t="n">
        <v>4</v>
      </c>
    </row>
    <row r="218">
      <c r="B218" t="n">
        <v>70216</v>
      </c>
      <c r="C218" s="15" t="n">
        <v>46094</v>
      </c>
      <c r="D218" t="n">
        <v>3</v>
      </c>
      <c r="E218" t="n">
        <v>9006</v>
      </c>
      <c r="F218" t="n">
        <v>14</v>
      </c>
    </row>
    <row r="219">
      <c r="B219" t="n">
        <v>70217</v>
      </c>
      <c r="C219" s="15" t="n">
        <v>46104</v>
      </c>
      <c r="D219" t="n">
        <v>6</v>
      </c>
      <c r="E219" t="n">
        <v>9007</v>
      </c>
      <c r="F219" t="n">
        <v>10</v>
      </c>
    </row>
    <row r="220">
      <c r="B220" t="n">
        <v>70218</v>
      </c>
      <c r="C220" s="15" t="n">
        <v>46154</v>
      </c>
      <c r="D220" t="n">
        <v>2</v>
      </c>
      <c r="E220" t="n">
        <v>9010</v>
      </c>
      <c r="F220" t="n">
        <v>15</v>
      </c>
    </row>
    <row r="221">
      <c r="B221" t="n">
        <v>70219</v>
      </c>
      <c r="C221" s="15" t="n">
        <v>46055</v>
      </c>
      <c r="D221" t="n">
        <v>5</v>
      </c>
      <c r="E221" t="n">
        <v>9004</v>
      </c>
      <c r="F221" t="n">
        <v>23</v>
      </c>
    </row>
    <row r="222">
      <c r="B222" t="n">
        <v>70220</v>
      </c>
      <c r="C222" s="15" t="n">
        <v>46163</v>
      </c>
      <c r="D222" t="n">
        <v>5</v>
      </c>
      <c r="E222" t="n">
        <v>9007</v>
      </c>
      <c r="F222" t="n">
        <v>15</v>
      </c>
    </row>
    <row r="223">
      <c r="B223" t="n">
        <v>70221</v>
      </c>
      <c r="C223" s="15" t="n">
        <v>46093</v>
      </c>
      <c r="D223" t="n">
        <v>2</v>
      </c>
      <c r="E223" t="n">
        <v>9003</v>
      </c>
      <c r="F223" t="n">
        <v>13</v>
      </c>
    </row>
    <row r="224">
      <c r="B224" t="n">
        <v>70222</v>
      </c>
      <c r="C224" s="15" t="n">
        <v>46064</v>
      </c>
      <c r="D224" t="n">
        <v>5</v>
      </c>
      <c r="E224" t="n">
        <v>9007</v>
      </c>
      <c r="F224" t="n">
        <v>9</v>
      </c>
    </row>
    <row r="225">
      <c r="B225" t="n">
        <v>70223</v>
      </c>
      <c r="C225" s="15" t="n">
        <v>46177</v>
      </c>
      <c r="D225" t="n">
        <v>4</v>
      </c>
      <c r="E225" t="n">
        <v>9009</v>
      </c>
      <c r="F225" t="n">
        <v>11</v>
      </c>
    </row>
    <row r="226">
      <c r="B226" t="n">
        <v>70224</v>
      </c>
      <c r="C226" s="15" t="n">
        <v>46200</v>
      </c>
      <c r="D226" t="n">
        <v>6</v>
      </c>
      <c r="E226" t="n">
        <v>9011</v>
      </c>
      <c r="F226" t="n">
        <v>6</v>
      </c>
    </row>
    <row r="227">
      <c r="B227" t="n">
        <v>70225</v>
      </c>
      <c r="C227" s="15" t="n">
        <v>46127</v>
      </c>
      <c r="D227" t="n">
        <v>3</v>
      </c>
      <c r="E227" t="n">
        <v>9009</v>
      </c>
      <c r="F227" t="n">
        <v>6</v>
      </c>
    </row>
    <row r="228">
      <c r="B228" t="n">
        <v>70226</v>
      </c>
      <c r="C228" s="15" t="n">
        <v>46028</v>
      </c>
      <c r="D228" t="n">
        <v>3</v>
      </c>
      <c r="E228" t="n">
        <v>9005</v>
      </c>
      <c r="F228" t="n">
        <v>15</v>
      </c>
    </row>
    <row r="229">
      <c r="B229" t="n">
        <v>70227</v>
      </c>
      <c r="C229" s="15" t="n">
        <v>46196</v>
      </c>
      <c r="D229" t="n">
        <v>4</v>
      </c>
      <c r="E229" t="n">
        <v>9009</v>
      </c>
      <c r="F229" t="n">
        <v>16</v>
      </c>
    </row>
    <row r="230">
      <c r="B230" t="n">
        <v>70228</v>
      </c>
      <c r="C230" s="15" t="n">
        <v>46106</v>
      </c>
      <c r="D230" t="n">
        <v>1</v>
      </c>
      <c r="E230" t="n">
        <v>9001</v>
      </c>
      <c r="F230" t="n">
        <v>21</v>
      </c>
    </row>
    <row r="231">
      <c r="B231" t="n">
        <v>70229</v>
      </c>
      <c r="C231" s="15" t="n">
        <v>46132</v>
      </c>
      <c r="D231" t="n">
        <v>4</v>
      </c>
      <c r="E231" t="n">
        <v>9004</v>
      </c>
      <c r="F231" t="n">
        <v>5</v>
      </c>
    </row>
    <row r="232">
      <c r="B232" t="n">
        <v>70230</v>
      </c>
      <c r="C232" s="15" t="n">
        <v>46081</v>
      </c>
      <c r="D232" t="n">
        <v>1</v>
      </c>
      <c r="E232" t="n">
        <v>9010</v>
      </c>
      <c r="F232" t="n">
        <v>7</v>
      </c>
    </row>
    <row r="233">
      <c r="B233" t="n">
        <v>70231</v>
      </c>
      <c r="C233" s="15" t="n">
        <v>46072</v>
      </c>
      <c r="D233" t="n">
        <v>3</v>
      </c>
      <c r="E233" t="n">
        <v>9005</v>
      </c>
      <c r="F233" t="n">
        <v>10</v>
      </c>
    </row>
    <row r="234">
      <c r="B234" t="n">
        <v>70232</v>
      </c>
      <c r="C234" s="15" t="n">
        <v>46114</v>
      </c>
      <c r="D234" t="n">
        <v>4</v>
      </c>
      <c r="E234" t="n">
        <v>9009</v>
      </c>
      <c r="F234" t="n">
        <v>25</v>
      </c>
    </row>
    <row r="235">
      <c r="B235" t="n">
        <v>70233</v>
      </c>
      <c r="C235" s="15" t="n">
        <v>46125</v>
      </c>
      <c r="D235" t="n">
        <v>5</v>
      </c>
      <c r="E235" t="n">
        <v>9004</v>
      </c>
      <c r="F235" t="n">
        <v>19</v>
      </c>
    </row>
    <row r="236">
      <c r="B236" t="n">
        <v>70234</v>
      </c>
      <c r="C236" s="15" t="n">
        <v>46026</v>
      </c>
      <c r="D236" t="n">
        <v>2</v>
      </c>
      <c r="E236" t="n">
        <v>9002</v>
      </c>
      <c r="F236" t="n">
        <v>20</v>
      </c>
    </row>
    <row r="237">
      <c r="B237" t="n">
        <v>70235</v>
      </c>
      <c r="C237" s="15" t="n">
        <v>46038</v>
      </c>
      <c r="D237" t="n">
        <v>2</v>
      </c>
      <c r="E237" t="n">
        <v>9002</v>
      </c>
      <c r="F237" t="n">
        <v>5</v>
      </c>
    </row>
    <row r="238">
      <c r="B238" t="n">
        <v>70236</v>
      </c>
      <c r="C238" s="15" t="n">
        <v>46025</v>
      </c>
      <c r="D238" t="n">
        <v>1</v>
      </c>
      <c r="E238" t="n">
        <v>9006</v>
      </c>
      <c r="F238" t="n">
        <v>18</v>
      </c>
    </row>
    <row r="239">
      <c r="B239" t="n">
        <v>70237</v>
      </c>
      <c r="C239" s="15" t="n">
        <v>46121</v>
      </c>
      <c r="D239" t="n">
        <v>2</v>
      </c>
      <c r="E239" t="n">
        <v>9004</v>
      </c>
      <c r="F239" t="n">
        <v>11</v>
      </c>
    </row>
    <row r="240">
      <c r="B240" t="n">
        <v>70238</v>
      </c>
      <c r="C240" s="15" t="n">
        <v>46199</v>
      </c>
      <c r="D240" t="n">
        <v>6</v>
      </c>
      <c r="E240" t="n">
        <v>9010</v>
      </c>
      <c r="F240" t="n">
        <v>14</v>
      </c>
    </row>
    <row r="241">
      <c r="B241" t="n">
        <v>70239</v>
      </c>
      <c r="C241" s="15" t="n">
        <v>46120</v>
      </c>
      <c r="D241" t="n">
        <v>6</v>
      </c>
      <c r="E241" t="n">
        <v>9005</v>
      </c>
      <c r="F241" t="n">
        <v>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B1:E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18" customWidth="1" min="3" max="3"/>
    <col width="12" customWidth="1" min="4" max="4"/>
    <col width="16" customWidth="1" min="5" max="5"/>
  </cols>
  <sheetData>
    <row r="1">
      <c r="B1" t="inlineStr">
        <is>
          <t>KundenID</t>
        </is>
      </c>
      <c r="C1" t="inlineStr">
        <is>
          <t>KundenName</t>
        </is>
      </c>
      <c r="D1" t="inlineStr">
        <is>
          <t>Region</t>
        </is>
      </c>
      <c r="E1" t="inlineStr">
        <is>
          <t>Kundenrabatt</t>
        </is>
      </c>
    </row>
    <row r="2">
      <c r="B2" t="n">
        <v>1</v>
      </c>
      <c r="C2" t="inlineStr">
        <is>
          <t>Meier</t>
        </is>
      </c>
      <c r="D2" t="inlineStr">
        <is>
          <t>Nord</t>
        </is>
      </c>
      <c r="E2" s="16" t="n">
        <v>0.03</v>
      </c>
    </row>
    <row r="3">
      <c r="B3" t="n">
        <v>2</v>
      </c>
      <c r="C3" t="inlineStr">
        <is>
          <t>Müller</t>
        </is>
      </c>
      <c r="D3" t="inlineStr">
        <is>
          <t>Süd</t>
        </is>
      </c>
      <c r="E3" s="16" t="n">
        <v>0.04</v>
      </c>
    </row>
    <row r="4">
      <c r="B4" t="n">
        <v>3</v>
      </c>
      <c r="C4" t="inlineStr">
        <is>
          <t>Schmidt</t>
        </is>
      </c>
      <c r="D4" t="inlineStr">
        <is>
          <t>Ost</t>
        </is>
      </c>
      <c r="E4" s="16" t="n">
        <v>0.05</v>
      </c>
    </row>
    <row r="5">
      <c r="B5" t="n">
        <v>4</v>
      </c>
      <c r="C5" t="inlineStr">
        <is>
          <t>Weber</t>
        </is>
      </c>
      <c r="D5" t="inlineStr">
        <is>
          <t>West</t>
        </is>
      </c>
      <c r="E5" s="16" t="n">
        <v>0.02</v>
      </c>
    </row>
    <row r="6">
      <c r="B6" t="n">
        <v>5</v>
      </c>
      <c r="C6" t="inlineStr">
        <is>
          <t>Fischer</t>
        </is>
      </c>
      <c r="D6" t="inlineStr">
        <is>
          <t>Nord</t>
        </is>
      </c>
      <c r="E6" s="16" t="n">
        <v>0.06</v>
      </c>
    </row>
    <row r="7">
      <c r="B7" t="n">
        <v>6</v>
      </c>
      <c r="C7" t="inlineStr">
        <is>
          <t>Wolf</t>
        </is>
      </c>
      <c r="D7" t="inlineStr">
        <is>
          <t>Süd</t>
        </is>
      </c>
      <c r="E7" s="16" t="n">
        <v>0.035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B1:F13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>
      <c r="B1" t="inlineStr">
        <is>
          <t>ArtikelID</t>
        </is>
      </c>
      <c r="C1" t="inlineStr">
        <is>
          <t>Artikelname</t>
        </is>
      </c>
      <c r="D1" t="inlineStr">
        <is>
          <t>Kategorie</t>
        </is>
      </c>
      <c r="E1" t="inlineStr">
        <is>
          <t>Verkaufspreis</t>
        </is>
      </c>
      <c r="F1" t="inlineStr">
        <is>
          <t>Einkaufspreis</t>
        </is>
      </c>
    </row>
    <row r="2">
      <c r="B2" t="n">
        <v>9001</v>
      </c>
      <c r="C2" t="inlineStr">
        <is>
          <t>Schulbrötchen</t>
        </is>
      </c>
      <c r="D2" t="inlineStr">
        <is>
          <t>Kleingebäck</t>
        </is>
      </c>
      <c r="E2" s="16" t="n">
        <v>1.1</v>
      </c>
      <c r="F2" s="16" t="n">
        <v>0.42</v>
      </c>
    </row>
    <row r="3">
      <c r="B3" t="n">
        <v>9002</v>
      </c>
      <c r="C3" t="inlineStr">
        <is>
          <t>Rosinenbrötchen</t>
        </is>
      </c>
      <c r="D3" t="inlineStr">
        <is>
          <t>Kleingebäck</t>
        </is>
      </c>
      <c r="E3" s="16" t="n">
        <v>0.78</v>
      </c>
      <c r="F3" s="16" t="n">
        <v>0.31</v>
      </c>
    </row>
    <row r="4">
      <c r="B4" t="n">
        <v>9003</v>
      </c>
      <c r="C4" t="inlineStr">
        <is>
          <t>Laugenecke</t>
        </is>
      </c>
      <c r="D4" t="inlineStr">
        <is>
          <t>Kleingebäck</t>
        </is>
      </c>
      <c r="E4" s="16" t="n">
        <v>1.2</v>
      </c>
      <c r="F4" s="16" t="n">
        <v>0.48</v>
      </c>
    </row>
    <row r="5">
      <c r="B5" t="n">
        <v>9004</v>
      </c>
      <c r="C5" t="inlineStr">
        <is>
          <t>Sesambrötchen</t>
        </is>
      </c>
      <c r="D5" t="inlineStr">
        <is>
          <t>Kleingebäck</t>
        </is>
      </c>
      <c r="E5" s="16" t="n">
        <v>0.55</v>
      </c>
      <c r="F5" s="16" t="n">
        <v>0.21</v>
      </c>
    </row>
    <row r="6">
      <c r="B6" t="n">
        <v>9005</v>
      </c>
      <c r="C6" t="inlineStr">
        <is>
          <t>Buttermicken</t>
        </is>
      </c>
      <c r="D6" t="inlineStr">
        <is>
          <t>Kleingebäck</t>
        </is>
      </c>
      <c r="E6" s="16" t="n">
        <v>0.55</v>
      </c>
      <c r="F6" s="16" t="n">
        <v>0.22</v>
      </c>
    </row>
    <row r="7">
      <c r="B7" t="n">
        <v>9006</v>
      </c>
      <c r="C7" t="inlineStr">
        <is>
          <t>Vollkornbrötchen</t>
        </is>
      </c>
      <c r="D7" t="inlineStr">
        <is>
          <t>Vollkorn</t>
        </is>
      </c>
      <c r="E7" s="16" t="n">
        <v>0.7</v>
      </c>
      <c r="F7" s="16" t="n">
        <v>0.29</v>
      </c>
    </row>
    <row r="8">
      <c r="B8" t="n">
        <v>9007</v>
      </c>
      <c r="C8" t="inlineStr">
        <is>
          <t>Maiskrüstchen</t>
        </is>
      </c>
      <c r="D8" t="inlineStr">
        <is>
          <t>Vollkorn</t>
        </is>
      </c>
      <c r="E8" s="16" t="n">
        <v>0.75</v>
      </c>
      <c r="F8" s="16" t="n">
        <v>0.3</v>
      </c>
    </row>
    <row r="9">
      <c r="B9" t="n">
        <v>9008</v>
      </c>
      <c r="C9" t="inlineStr">
        <is>
          <t>Kürbiskernbrötchen</t>
        </is>
      </c>
      <c r="D9" t="inlineStr">
        <is>
          <t>Vollkorn</t>
        </is>
      </c>
      <c r="E9" s="16" t="n">
        <v>0.7</v>
      </c>
      <c r="F9" s="16" t="n">
        <v>0.28</v>
      </c>
    </row>
    <row r="10">
      <c r="B10" t="n">
        <v>9009</v>
      </c>
      <c r="C10" t="inlineStr">
        <is>
          <t>Butterhörnchen</t>
        </is>
      </c>
      <c r="D10" t="inlineStr">
        <is>
          <t>Feingebäck</t>
        </is>
      </c>
      <c r="E10" s="16" t="n">
        <v>0.85</v>
      </c>
      <c r="F10" s="16" t="n">
        <v>0.34</v>
      </c>
    </row>
    <row r="11">
      <c r="B11" t="n">
        <v>9010</v>
      </c>
      <c r="C11" t="inlineStr">
        <is>
          <t>Roggenbrötchen</t>
        </is>
      </c>
      <c r="D11" t="inlineStr">
        <is>
          <t>Vollkorn</t>
        </is>
      </c>
      <c r="E11" s="16" t="n">
        <v>0.55</v>
      </c>
      <c r="F11" s="16" t="n">
        <v>0.23</v>
      </c>
    </row>
    <row r="12">
      <c r="B12" t="n">
        <v>9011</v>
      </c>
      <c r="C12" t="inlineStr">
        <is>
          <t>Upschies</t>
        </is>
      </c>
      <c r="D12" t="inlineStr">
        <is>
          <t>Feingebäck</t>
        </is>
      </c>
      <c r="E12" s="16" t="n">
        <v>0.34</v>
      </c>
      <c r="F12" s="16" t="n">
        <v>0.13</v>
      </c>
    </row>
    <row r="13">
      <c r="B13" t="n">
        <v>9012</v>
      </c>
      <c r="C13" t="inlineStr">
        <is>
          <t>Nussschnecke</t>
        </is>
      </c>
      <c r="D13" t="inlineStr">
        <is>
          <t>Feingebäck</t>
        </is>
      </c>
      <c r="E13" s="16" t="n">
        <v>1.45</v>
      </c>
      <c r="F13" s="16" t="n">
        <v>0.61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B1:B17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76" customWidth="1" min="2" max="2"/>
  </cols>
  <sheetData>
    <row r="1" ht="22" customHeight="1">
      <c r="B1" s="1" t="inlineStr">
        <is>
          <t>1  Daten ins Modell laden und verknüpfen</t>
        </is>
      </c>
    </row>
    <row r="2">
      <c r="B2" s="17" t="inlineStr">
        <is>
          <t>Kapitel: Power Pivot - Daten ins Datenmodell laden / Beziehung herstellen</t>
        </is>
      </c>
    </row>
    <row r="4" ht="42" customHeight="1">
      <c r="B4" s="2" t="inlineStr">
        <is>
          <t>Beachte: Die Bestelltabelle enthält KEINE Kundennamen und keine Artikelbezeichnungen - nur die IDs. Genau so gehört sich das. Die Details holt sich das Datenmodell über die Beziehungen.</t>
        </is>
      </c>
    </row>
    <row r="6">
      <c r="B6" s="3" t="inlineStr">
        <is>
          <t>Schritte</t>
        </is>
      </c>
    </row>
    <row r="7" ht="28" customHeight="1">
      <c r="B7" s="18" t="inlineStr">
        <is>
          <t xml:space="preserve"> 1.  Klicke in die Tabelle tab_bestellungen und wähle Power Pivot - Zu Datenmodell hinzufügen.</t>
        </is>
      </c>
    </row>
    <row r="8" ht="14" customHeight="1">
      <c r="B8" s="18" t="inlineStr">
        <is>
          <t xml:space="preserve"> 2.  Wiederhole das für tab_kunden und tab_artikel.</t>
        </is>
      </c>
    </row>
    <row r="9" ht="14" customHeight="1">
      <c r="B9" s="18" t="inlineStr">
        <is>
          <t xml:space="preserve"> 3.  Wechsle im Power-Pivot-Fenster auf Start - Diagrammansicht.</t>
        </is>
      </c>
    </row>
    <row r="10" ht="28" customHeight="1">
      <c r="B10" s="18" t="inlineStr">
        <is>
          <t xml:space="preserve"> 4.  Ziehe KundenID aus tab_bestellungen auf KundenID in tab_kunden - es entsteht eine 1:N-Beziehung.</t>
        </is>
      </c>
    </row>
    <row r="11" ht="14" customHeight="1">
      <c r="B11" s="18" t="inlineStr">
        <is>
          <t xml:space="preserve"> 5.  Ziehe ArtikelID aus tab_bestellungen auf ArtikelID in tab_artikel.</t>
        </is>
      </c>
    </row>
    <row r="12" ht="28" customHeight="1">
      <c r="B12" s="18" t="inlineStr">
        <is>
          <t xml:space="preserve"> 6.  Sieh dir die Pfeilrichtung an: Die 1-Seite steht immer bei der Dimensionstabelle, die N-Seite bei den Bestellungen.</t>
        </is>
      </c>
    </row>
    <row r="13" ht="28" customHeight="1">
      <c r="B13" s="18" t="inlineStr">
        <is>
          <t xml:space="preserve"> 7.  Schließe das Power-Pivot-Fenster - Änderungen werden automatisch übernommen, ein Speichern ist nicht nötig.</t>
        </is>
      </c>
    </row>
    <row r="15">
      <c r="B15" s="3" t="inlineStr">
        <is>
          <t>Alternative Wege (zum Ausprobieren)</t>
        </is>
      </c>
    </row>
    <row r="16" ht="28" customHeight="1">
      <c r="B16" s="18" t="inlineStr">
        <is>
          <t xml:space="preserve"> 1.  Über Power Query: beim Laden das Häkchen Dem Datenmodell diese Daten hinzufügen setzen, kombiniert mit Nur Verbindung erstellen.</t>
        </is>
      </c>
    </row>
    <row r="17" ht="28" customHeight="1">
      <c r="B17" s="18" t="inlineStr">
        <is>
          <t xml:space="preserve"> 2.  Über Power Pivot - Verwalten - Externe Daten abrufen: nur sinnvoll, wenn die Daten schon perfekt strukturiert sind.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B1:B20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76" customWidth="1" min="2" max="2"/>
  </cols>
  <sheetData>
    <row r="1" ht="22" customHeight="1">
      <c r="B1" s="1" t="inlineStr">
        <is>
          <t>2  Auswerten mit RELATED und berechneten Spalten</t>
        </is>
      </c>
    </row>
    <row r="2">
      <c r="B2" s="17" t="inlineStr">
        <is>
          <t>Kapitel: Power Pivot - Pivot-Tabelle erstellen / Auswerten der Daten</t>
        </is>
      </c>
    </row>
    <row r="4">
      <c r="B4" s="3" t="inlineStr">
        <is>
          <t>Pivot-Tabelle aus dem Datenmodell</t>
        </is>
      </c>
    </row>
    <row r="5" ht="28" customHeight="1">
      <c r="B5" s="18" t="inlineStr">
        <is>
          <t xml:space="preserve"> 1.  Einfügen - PivotTable - im Dialog Das Datenmodell dieser Arbeitsmappe verwenden wählen.</t>
        </is>
      </c>
    </row>
    <row r="6" ht="28" customHeight="1">
      <c r="B6" s="18" t="inlineStr">
        <is>
          <t xml:space="preserve"> 2.  In der Feldliste erscheinen jetzt ALLE drei Tabellen. Ziehe Kategorie (aus tab_artikel) in die Zeilen.</t>
        </is>
      </c>
    </row>
    <row r="7" ht="14" customHeight="1">
      <c r="B7" s="18" t="inlineStr">
        <is>
          <t xml:space="preserve"> 3.  Ziehe Anzahl (aus tab_bestellungen) in die Werte.</t>
        </is>
      </c>
    </row>
    <row r="8" ht="28" customHeight="1">
      <c r="B8" s="18" t="inlineStr">
        <is>
          <t xml:space="preserve"> 4.  Ergänze Region (aus tab_kunden) in den Spalten. Ohne Datenmodell wäre das ohne SVERWEIS unmöglich.</t>
        </is>
      </c>
    </row>
    <row r="10">
      <c r="B10" s="3" t="inlineStr">
        <is>
          <t>Berechnete Spalten im Datenmodell</t>
        </is>
      </c>
    </row>
    <row r="11" ht="28" customHeight="1">
      <c r="B11" s="18" t="inlineStr">
        <is>
          <t xml:space="preserve"> 1.  Wechsle in die Power-Pivot-Oberfläche und dort in die Tabelle tab_bestellungen.</t>
        </is>
      </c>
    </row>
    <row r="12" ht="28" customHeight="1">
      <c r="B12" s="18" t="inlineStr">
        <is>
          <t xml:space="preserve"> 2.  Klicke in die erste Zelle der leeren Spalte rechts und gib ein:  =RELATED(tab_artikel[Verkaufspreis])</t>
        </is>
      </c>
    </row>
    <row r="13" ht="28" customHeight="1">
      <c r="B13" s="18" t="inlineStr">
        <is>
          <t xml:space="preserve"> 3.  Benenne die Spalte per Doppelklick auf den Spaltenkopf in Verkaufspreis um.</t>
        </is>
      </c>
    </row>
    <row r="14" ht="28" customHeight="1">
      <c r="B14" s="18" t="inlineStr">
        <is>
          <t xml:space="preserve"> 4.  Lege genauso eine Spalte Kundenrabatt an:  =RELATED(tab_kunden[Kundenrabatt])</t>
        </is>
      </c>
    </row>
    <row r="15" ht="28" customHeight="1">
      <c r="B15" s="18" t="inlineStr">
        <is>
          <t xml:space="preserve"> 5.  Berechne eine Spalte Umsatz:  =tab_bestellungen[Anzahl] * tab_bestellungen[Verkaufspreis]</t>
        </is>
      </c>
    </row>
    <row r="16" ht="28" customHeight="1">
      <c r="B16" s="18" t="inlineStr">
        <is>
          <t xml:space="preserve"> 6.  Berechne eine Spalte Nettoumsatz:  =tab_bestellungen[Umsatz] * (1 - tab_bestellungen[Kundenrabatt])</t>
        </is>
      </c>
    </row>
    <row r="17" ht="28" customHeight="1">
      <c r="B17" s="18" t="inlineStr">
        <is>
          <t xml:space="preserve"> 7.  Zurück in Excel: Aktualisiere die Pivot-Tabelle - die neuen Spalten stehen sofort als Werte zur Verfügung.</t>
        </is>
      </c>
    </row>
    <row r="20" ht="56" customHeight="1">
      <c r="B20" s="14" t="inlineStr">
        <is>
          <t>Merke: Spalten aus der DIMENSIONStabelle (z. B. Kundenrabatt) eignen sich für Zeilen und Spalten der Pivot-Tabelle, aber nicht als Wert. Wenn du sie als Wert brauchst, holst du sie mit RELATED in die Faktentabelle.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B1:B21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76" customWidth="1" min="2" max="2"/>
  </cols>
  <sheetData>
    <row r="1" ht="22" customHeight="1">
      <c r="B1" s="1" t="inlineStr">
        <is>
          <t>3  Measures und KPIs</t>
        </is>
      </c>
    </row>
    <row r="2">
      <c r="B2" s="17" t="inlineStr">
        <is>
          <t>Kapitel: Power Pivot - Auswerten der Daten</t>
        </is>
      </c>
    </row>
    <row r="4" ht="56" customHeight="1">
      <c r="B4" s="2" t="inlineStr">
        <is>
          <t>Eine berechnete SPALTE rechnet Zeile für Zeile. Ein MEASURE rechnet über den gerade sichtbaren Ausschnitt - es passt sich also jedem Filter der Pivot-Tabelle an. Deshalb ist ein Measure für Kennzahlen fast immer die richtige Wahl.</t>
        </is>
      </c>
    </row>
    <row r="6">
      <c r="B6" s="3" t="inlineStr">
        <is>
          <t>Measures anlegen</t>
        </is>
      </c>
    </row>
    <row r="7" ht="14" customHeight="1">
      <c r="B7" s="18" t="inlineStr">
        <is>
          <t xml:space="preserve"> 1.  Power Pivot - Measures - Neues Measure.</t>
        </is>
      </c>
    </row>
    <row r="8" ht="28" customHeight="1">
      <c r="B8" s="18" t="inlineStr">
        <is>
          <t xml:space="preserve"> 2.  Tabellenname: tab_bestellungen, Measure-Name: Gesamtumsatz, Formel:  =SUM(tab_bestellungen[Umsatz])</t>
        </is>
      </c>
    </row>
    <row r="9" ht="28" customHeight="1">
      <c r="B9" s="18" t="inlineStr">
        <is>
          <t xml:space="preserve"> 3.  Formatierung: Währung mit zwei Nachkommastellen. Mit Formel überprüfen kontrollierst du die Syntax.</t>
        </is>
      </c>
    </row>
    <row r="10" ht="28" customHeight="1">
      <c r="B10" s="18" t="inlineStr">
        <is>
          <t xml:space="preserve"> 4.  Lege ein zweites Measure an: Nettoumsatz  =SUM(tab_bestellungen[Nettoumsatz])</t>
        </is>
      </c>
    </row>
    <row r="11" ht="28" customHeight="1">
      <c r="B11" s="18" t="inlineStr">
        <is>
          <t xml:space="preserve"> 5.  Lege ein drittes Measure an: Durchschnittsbon  =DIVIDE([Gesamtumsatz]; COUNTROWS(tab_bestellungen))</t>
        </is>
      </c>
    </row>
    <row r="12" ht="28" customHeight="1">
      <c r="B12" s="18" t="inlineStr">
        <is>
          <t xml:space="preserve"> 6.  Probiere auch die X-Varianten aus:  =SUMX(tab_bestellungen; tab_bestellungen[Anzahl] * tab_bestellungen[Verkaufspreis])</t>
        </is>
      </c>
    </row>
    <row r="13" ht="28" customHeight="1">
      <c r="B13" s="18" t="inlineStr">
        <is>
          <t xml:space="preserve"> 7.  Unter Power Pivot - Measures - Measures verwalten kannst du sie später bearbeiten oder löschen.</t>
        </is>
      </c>
    </row>
    <row r="15">
      <c r="B15" s="3" t="inlineStr">
        <is>
          <t>KPI erstellen</t>
        </is>
      </c>
    </row>
    <row r="16" ht="14" customHeight="1">
      <c r="B16" s="18" t="inlineStr">
        <is>
          <t xml:space="preserve"> 1.  Power Pivot - KPIs - Neuer KPI.</t>
        </is>
      </c>
    </row>
    <row r="17" ht="14" customHeight="1">
      <c r="B17" s="18" t="inlineStr">
        <is>
          <t xml:space="preserve"> 2.  KPI-Basisfeld: Nettoumsatz.</t>
        </is>
      </c>
    </row>
    <row r="18" ht="14" customHeight="1">
      <c r="B18" s="18" t="inlineStr">
        <is>
          <t xml:space="preserve"> 3.  Zielwert definieren: Absolutwert 5000.</t>
        </is>
      </c>
    </row>
    <row r="19" ht="14" customHeight="1">
      <c r="B19" s="18" t="inlineStr">
        <is>
          <t xml:space="preserve"> 4.  Statusschwellwerte: dreiteilig, z. B. 60 % und 90 % des Ziels.</t>
        </is>
      </c>
    </row>
    <row r="20" ht="14" customHeight="1">
      <c r="B20" s="18" t="inlineStr">
        <is>
          <t xml:space="preserve"> 5.  Symbolart: Ampel.</t>
        </is>
      </c>
    </row>
    <row r="21" ht="28" customHeight="1">
      <c r="B21" s="18" t="inlineStr">
        <is>
          <t xml:space="preserve"> 6.  Zieh den KPI in die Pivot-Tabelle. Falls die Symbole nicht erscheinen: Status einmal aus- und wieder einblenden.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B1:D10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72" customWidth="1" min="2" max="2"/>
    <col width="18" customWidth="1" min="3" max="3"/>
    <col width="44" customWidth="1" min="4" max="4"/>
  </cols>
  <sheetData>
    <row r="1" ht="22" customHeight="1">
      <c r="B1" s="1" t="inlineStr">
        <is>
          <t>4  Kontrollwerte</t>
        </is>
      </c>
    </row>
    <row r="2">
      <c r="B2" s="17" t="inlineStr">
        <is>
          <t>Lies die Werte aus deiner Pivot-Tabelle ab.</t>
        </is>
      </c>
    </row>
    <row r="4">
      <c r="B4" s="11" t="inlineStr">
        <is>
          <t>Kontrollfrage</t>
        </is>
      </c>
      <c r="C4" s="11" t="inlineStr">
        <is>
          <t>dein Ergebnis</t>
        </is>
      </c>
      <c r="D4" s="11" t="inlineStr">
        <is>
          <t>Kontrolle</t>
        </is>
      </c>
    </row>
    <row r="5" ht="14" customHeight="1">
      <c r="B5" s="13" t="inlineStr">
        <is>
          <t>Anzahl der Bestellzeilen</t>
        </is>
      </c>
      <c r="C5" s="19" t="n"/>
      <c r="D5" s="20">
        <f>IF(C5="","Kontrolle",IF(ABS(C5-240)&lt;0.5,"OK - richtig","noch nicht richtig"))</f>
        <v/>
      </c>
    </row>
    <row r="6" ht="14" customHeight="1">
      <c r="B6" s="13" t="inlineStr">
        <is>
          <t>Gesamtumsatz in EUR (Measure Gesamtumsatz)</t>
        </is>
      </c>
      <c r="C6" s="21" t="n"/>
      <c r="D6" s="20">
        <f>IF(C6="","Kontrolle",IF(ABS(C6-2399.79)&lt;0.5,"OK - richtig","noch nicht richtig"))</f>
        <v/>
      </c>
    </row>
    <row r="7" ht="14" customHeight="1">
      <c r="B7" s="13" t="inlineStr">
        <is>
          <t>Nettoumsatz nach Kundenrabatt in EUR</t>
        </is>
      </c>
      <c r="C7" s="21" t="n"/>
      <c r="D7" s="20">
        <f>IF(C7="","Kontrolle",IF(ABS(C7-2303.74)&lt;1.0,"OK - richtig","noch nicht richtig"))</f>
        <v/>
      </c>
    </row>
    <row r="8" ht="14" customHeight="1">
      <c r="B8" s="13" t="inlineStr">
        <is>
          <t>Umsatz der Kategorie Kleingebäck in EUR</t>
        </is>
      </c>
      <c r="C8" s="21" t="n"/>
      <c r="D8" s="20">
        <f>IF(C8="","Kontrolle",IF(ABS(C8-1043.26)&lt;0.5,"OK - richtig","noch nicht richtig"))</f>
        <v/>
      </c>
    </row>
    <row r="9" ht="14" customHeight="1">
      <c r="B9" s="13" t="inlineStr">
        <is>
          <t>Umsatz der Region Nord in EUR</t>
        </is>
      </c>
      <c r="C9" s="21" t="n"/>
      <c r="D9" s="20">
        <f>IF(C9="","Kontrolle",IF(ABS(C9-791.52)&lt;0.5,"OK - richtig","noch nicht richtig"))</f>
        <v/>
      </c>
    </row>
    <row r="10" ht="14" customHeight="1">
      <c r="B10" s="13" t="inlineStr">
        <is>
          <t>Durchschnittsbon in EUR (Gesamtumsatz / Anzahl Zeilen)</t>
        </is>
      </c>
      <c r="C10" s="21" t="n"/>
      <c r="D10" s="20">
        <f>IF(C10="","Kontrolle",IF(ABS(C10-9.9991)&lt;0.02,"OK - richtig","noch nicht richtig"))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B1:D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4" customWidth="1" min="3" max="3"/>
    <col width="100" customWidth="1" min="4" max="4"/>
  </cols>
  <sheetData>
    <row r="1" ht="22" customHeight="1">
      <c r="B1" s="1" t="inlineStr">
        <is>
          <t>Lösungen</t>
        </is>
      </c>
    </row>
    <row r="2">
      <c r="B2" s="17" t="inlineStr">
        <is>
          <t>Nur nachsehen, wenn du wirklich nicht weiterkommst!</t>
        </is>
      </c>
    </row>
    <row r="4">
      <c r="B4" s="11" t="inlineStr">
        <is>
          <t>Arbeitsblatt</t>
        </is>
      </c>
      <c r="C4" s="11" t="inlineStr">
        <is>
          <t>Aufgabe</t>
        </is>
      </c>
      <c r="D4" s="11" t="inlineStr">
        <is>
          <t>Lösung</t>
        </is>
      </c>
    </row>
    <row r="5" ht="13" customHeight="1">
      <c r="B5" s="22" t="inlineStr">
        <is>
          <t>1 Datenmodell</t>
        </is>
      </c>
      <c r="C5" s="13" t="inlineStr">
        <is>
          <t>Laden</t>
        </is>
      </c>
      <c r="D5" s="23" t="inlineStr">
        <is>
          <t>Power Pivot - Zu Datenmodell hinzufügen (Tabelle muss eine echte Tabelle sein)</t>
        </is>
      </c>
    </row>
    <row r="6" ht="26" customHeight="1">
      <c r="B6" s="22" t="inlineStr"/>
      <c r="C6" s="13" t="inlineStr">
        <is>
          <t>Beziehung</t>
        </is>
      </c>
      <c r="D6" s="23" t="inlineStr">
        <is>
          <t>Diagrammansicht - Schlüsselfeld per Drag-and-Drop auf das Schlüsselfeld der anderen Tabelle ziehen</t>
        </is>
      </c>
    </row>
    <row r="7" ht="13" customHeight="1">
      <c r="B7" s="22" t="inlineStr"/>
      <c r="C7" s="13" t="inlineStr">
        <is>
          <t>1:N</t>
        </is>
      </c>
      <c r="D7" s="23" t="inlineStr">
        <is>
          <t>Die 1-Seite liegt bei der Dimensionstabelle (Kunde/Artikel), die N-Seite bei den Bestellungen</t>
        </is>
      </c>
    </row>
    <row r="8" ht="13" customHeight="1">
      <c r="B8" s="22" t="inlineStr">
        <is>
          <t>2 Auswerten</t>
        </is>
      </c>
      <c r="C8" s="13" t="inlineStr">
        <is>
          <t>RELATED</t>
        </is>
      </c>
      <c r="D8" s="23" t="inlineStr">
        <is>
          <t>In der Faktentabelle:  =RELATED(tab_artikel[Verkaufspreis])</t>
        </is>
      </c>
    </row>
    <row r="9" ht="13" customHeight="1">
      <c r="B9" s="22" t="inlineStr"/>
      <c r="C9" s="13" t="inlineStr">
        <is>
          <t>Berechnete Spalte</t>
        </is>
      </c>
      <c r="D9" s="23" t="inlineStr">
        <is>
          <t>=tab_bestellungen[Anzahl] * tab_bestellungen[Verkaufspreis]</t>
        </is>
      </c>
    </row>
    <row r="10" ht="13" customHeight="1">
      <c r="B10" s="22" t="inlineStr"/>
      <c r="C10" s="13" t="inlineStr">
        <is>
          <t>Dimensionsspalten</t>
        </is>
      </c>
      <c r="D10" s="23" t="inlineStr">
        <is>
          <t>Gehören in Zeilen/Spalten der Pivot - für Werte erst mit RELATED in die Faktentabelle holen</t>
        </is>
      </c>
    </row>
    <row r="11" ht="13" customHeight="1">
      <c r="B11" s="22" t="inlineStr">
        <is>
          <t>3 Measures+KPI</t>
        </is>
      </c>
      <c r="C11" s="13" t="inlineStr">
        <is>
          <t>Measure</t>
        </is>
      </c>
      <c r="D11" s="23" t="inlineStr">
        <is>
          <t>=SUM(tab_bestellungen[Umsatz])  bzw.  =SUMX(tab_bestellungen; [Anzahl]*[Verkaufspreis])</t>
        </is>
      </c>
    </row>
    <row r="12" ht="13" customHeight="1">
      <c r="B12" s="22" t="inlineStr"/>
      <c r="C12" s="13" t="inlineStr">
        <is>
          <t>Division</t>
        </is>
      </c>
      <c r="D12" s="23" t="inlineStr">
        <is>
          <t>=DIVIDE([Gesamtumsatz]; COUNTROWS(tab_bestellungen))  - DIVIDE fängt Division durch null ab</t>
        </is>
      </c>
    </row>
    <row r="13" ht="13" customHeight="1">
      <c r="B13" s="22" t="inlineStr"/>
      <c r="C13" s="13" t="inlineStr">
        <is>
          <t>Spalte vs. Measure</t>
        </is>
      </c>
      <c r="D13" s="23" t="inlineStr">
        <is>
          <t>Spalte rechnet zeilenweise und wird gespeichert, Measure rechnet im Filterkontext</t>
        </is>
      </c>
    </row>
    <row r="14" ht="26" customHeight="1">
      <c r="B14" s="22" t="inlineStr">
        <is>
          <t>4 Kontrollwerte</t>
        </is>
      </c>
      <c r="C14" s="13" t="inlineStr">
        <is>
          <t>Sollwerte</t>
        </is>
      </c>
      <c r="D14" s="23" t="inlineStr">
        <is>
          <t>Zeilen: 240  |  Umsatz: 2.399.79  |  netto: 2.303.74  |  Kleingebäck: 1.043.26  |  Nord: 791.52  |  Bon: 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2026-08-21T07:48:17Z</dcterms:created>
  <dcterms:modified xsi:type="dcterms:W3CDTF">2026-08-21T07:48:17Z</dcterms:modified>
</cp:coreProperties>
</file>