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Studenten" sheetId="2" state="visible" r:id="rId2"/>
    <sheet name="Noten" sheetId="3" state="visible" r:id="rId3"/>
    <sheet name="Notenschlüssel" sheetId="4" state="visible" r:id="rId4"/>
    <sheet name="Punkte2021" sheetId="5" state="visible" r:id="rId5"/>
    <sheet name="Punkte2022" sheetId="6" state="visible" r:id="rId6"/>
    <sheet name="1 Basis" sheetId="7" state="visible" r:id="rId7"/>
    <sheet name="2 MinMax+Rang" sheetId="8" state="visible" r:id="rId8"/>
    <sheet name="3 Verweise" sheetId="9" state="visible" r:id="rId9"/>
    <sheet name="4 INDEX+VERGLEICH" sheetId="10" state="visible" r:id="rId10"/>
    <sheet name="5 INDIREKT" sheetId="11" state="visible" r:id="rId11"/>
    <sheet name="6 WENN-Familie" sheetId="12" state="visible" r:id="rId12"/>
    <sheet name="7 WENN+Fehler" sheetId="13" state="visible" r:id="rId13"/>
    <sheet name="8 Praxisfall" sheetId="14" state="visible" r:id="rId14"/>
    <sheet name="Lösung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color rgb="00375623"/>
      <sz val="10"/>
    </font>
    <font>
      <b val="1"/>
      <sz val="11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3" borderId="2" pivotButton="0" quotePrefix="0" xfId="0"/>
    <xf numFmtId="0" fontId="6" fillId="0" borderId="0" pivotButton="0" quotePrefix="0" xfId="0"/>
    <xf numFmtId="3" fontId="0" fillId="2" borderId="1" pivotButton="0" quotePrefix="0" xfId="0"/>
    <xf numFmtId="0" fontId="7" fillId="0" borderId="0" pivotButton="0" quotePrefix="0" xfId="0"/>
    <xf numFmtId="4" fontId="0" fillId="2" borderId="1" pivotButton="0" quotePrefix="0" xfId="0"/>
    <xf numFmtId="0" fontId="8" fillId="0" borderId="0" applyAlignment="1" pivotButton="0" quotePrefix="0" xfId="0">
      <alignment vertical="top" wrapText="1"/>
    </xf>
    <xf numFmtId="0" fontId="0" fillId="0" borderId="2" pivotButton="0" quotePrefix="0" xfId="0"/>
    <xf numFmtId="3" fontId="0" fillId="3" borderId="2" pivotButton="0" quotePrefix="0" xfId="0"/>
    <xf numFmtId="1" fontId="0" fillId="2" borderId="1" pivotButton="0" quotePrefix="0" xfId="0"/>
    <xf numFmtId="0" fontId="5" fillId="0" borderId="0" pivotButton="0" quotePrefix="0" xfId="0"/>
    <xf numFmtId="1" fontId="0" fillId="3" borderId="2" pivotButton="0" quotePrefix="0" xfId="0"/>
    <xf numFmtId="0" fontId="5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03_Funktionen.xlsx  -  Daten auswerten mit Funktionen</t>
        </is>
      </c>
    </row>
    <row r="4" ht="70" customHeight="1">
      <c r="B4" s="2" t="inlineStr">
        <is>
          <t>Diese Übung arbeitet mit den Prüfungsergebnissen zweier Jahrgänge. Die Blätter mit ROTEM Register enthalten die Rohdaten und dürfen nicht verändert werden - so wie sie auch aus einem echten Vorsystem kommen würden. Auf den blauen Blättern wertest du diese Daten mit den Funktionen aus dem Kapitel aus.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Studenten</t>
        </is>
      </c>
      <c r="C23" s="13" t="inlineStr">
        <is>
          <t>Stammdaten - dürfen NICHT verändert werden</t>
        </is>
      </c>
    </row>
    <row r="24">
      <c r="B24" s="12" t="inlineStr">
        <is>
          <t>Noten</t>
        </is>
      </c>
      <c r="C24" s="13" t="inlineStr">
        <is>
          <t>Prüfungsergebnisse des aktuellen Jahres - dürfen NICHT verändert werden</t>
        </is>
      </c>
    </row>
    <row r="25">
      <c r="B25" s="12" t="inlineStr">
        <is>
          <t>Notenschlüssel</t>
        </is>
      </c>
      <c r="C25" s="13" t="inlineStr">
        <is>
          <t>Umrechnung Punkte in Note und Prädikat</t>
        </is>
      </c>
    </row>
    <row r="26">
      <c r="B26" s="12" t="inlineStr">
        <is>
          <t>Punkte2021 / Punkte2022</t>
        </is>
      </c>
      <c r="C26" s="13" t="inlineStr">
        <is>
          <t>Ergebnisse zweier Jahrgänge - Grundlage für INDIREKT</t>
        </is>
      </c>
    </row>
    <row r="27">
      <c r="B27" s="12" t="inlineStr">
        <is>
          <t>1 Basis</t>
        </is>
      </c>
      <c r="C27" s="13" t="inlineStr">
        <is>
          <t>SUMME, ANZAHL, ANZAHL2, ANZAHLLEERZELLEN, MITTELWERT</t>
        </is>
      </c>
    </row>
    <row r="28">
      <c r="B28" s="12" t="inlineStr">
        <is>
          <t>2 MinMax+Rang</t>
        </is>
      </c>
      <c r="C28" s="13" t="inlineStr">
        <is>
          <t>MIN, MAX, KGRÖSSTE, KKLEINSTE, RANG</t>
        </is>
      </c>
    </row>
    <row r="29">
      <c r="B29" s="12" t="inlineStr">
        <is>
          <t>3 Verweise</t>
        </is>
      </c>
      <c r="C29" s="13" t="inlineStr">
        <is>
          <t>SVERWEIS, WVERWEIS, XVERWEIS</t>
        </is>
      </c>
    </row>
    <row r="30">
      <c r="B30" s="12" t="inlineStr">
        <is>
          <t>4 INDEX+VERGLEICH</t>
        </is>
      </c>
      <c r="C30" s="13" t="inlineStr">
        <is>
          <t>VERGLEICH, INDEX und die Kombination aus beiden</t>
        </is>
      </c>
    </row>
    <row r="31">
      <c r="B31" s="12" t="inlineStr">
        <is>
          <t>5 INDIREKT</t>
        </is>
      </c>
      <c r="C31" s="13" t="inlineStr">
        <is>
          <t>Bezüge aus Textbausteinen zusammensetzen</t>
        </is>
      </c>
    </row>
    <row r="32">
      <c r="B32" s="12" t="inlineStr">
        <is>
          <t>6 WENN-Familie</t>
        </is>
      </c>
      <c r="C32" s="13" t="inlineStr">
        <is>
          <t>SUMMEWENN, MITTELWERTWENN, ZÄHLENWENN, MAXWENNS, MINWENNS</t>
        </is>
      </c>
    </row>
    <row r="33">
      <c r="B33" s="12" t="inlineStr">
        <is>
          <t>7 WENN+Fehler</t>
        </is>
      </c>
      <c r="C33" s="13" t="inlineStr">
        <is>
          <t>WENN, UND, ODER, WENNFEHLER, WENNNV</t>
        </is>
      </c>
    </row>
    <row r="34">
      <c r="B34" s="12" t="inlineStr">
        <is>
          <t>8 Praxisfall</t>
        </is>
      </c>
      <c r="C34" s="13" t="inlineStr">
        <is>
          <t>Notenliste komplett auswerten - alles zusammen</t>
        </is>
      </c>
    </row>
    <row r="36" ht="28" customHeight="1">
      <c r="B36" s="14" t="inlineStr">
        <is>
          <t>Alle Ergebnisse müssen als FORMEL berechnet werden - die Kontrollspalte weist dich darauf hin, wenn du nur den Wert eingetippt hast.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1:F6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20" customWidth="1" min="4" max="4"/>
    <col width="14" customWidth="1" min="5" max="5"/>
    <col width="16" customWidth="1" min="6" max="6"/>
  </cols>
  <sheetData>
    <row r="1">
      <c r="B1" s="1" t="inlineStr">
        <is>
          <t>Studenten  -  Rohdaten, bitte nicht verändern</t>
        </is>
      </c>
    </row>
    <row r="3">
      <c r="B3" s="11" t="inlineStr">
        <is>
          <t>Matrikelnummer</t>
        </is>
      </c>
      <c r="C3" s="11" t="inlineStr">
        <is>
          <t>Vorname</t>
        </is>
      </c>
      <c r="D3" s="11" t="inlineStr">
        <is>
          <t>Nachname</t>
        </is>
      </c>
      <c r="E3" s="11" t="inlineStr">
        <is>
          <t>Studiengang</t>
        </is>
      </c>
      <c r="F3" s="11" t="inlineStr">
        <is>
          <t>Studiengebühren</t>
        </is>
      </c>
    </row>
    <row r="4">
      <c r="B4" s="15" t="n">
        <v>211052349</v>
      </c>
      <c r="C4" s="15" t="inlineStr">
        <is>
          <t>Adelhelm</t>
        </is>
      </c>
      <c r="D4" s="15" t="inlineStr">
        <is>
          <t>Fedder</t>
        </is>
      </c>
      <c r="E4" s="15" t="inlineStr">
        <is>
          <t>BA WING</t>
        </is>
      </c>
      <c r="F4" s="15" t="n">
        <v>367</v>
      </c>
    </row>
    <row r="5">
      <c r="B5" s="15" t="n">
        <v>211052350</v>
      </c>
      <c r="C5" s="15" t="inlineStr">
        <is>
          <t>Almar</t>
        </is>
      </c>
      <c r="D5" s="15" t="inlineStr">
        <is>
          <t>Tabbert</t>
        </is>
      </c>
      <c r="E5" s="15" t="inlineStr">
        <is>
          <t>BA MECH</t>
        </is>
      </c>
      <c r="F5" s="15" t="n">
        <v>367</v>
      </c>
    </row>
    <row r="6">
      <c r="B6" s="15" t="n">
        <v>211052351</v>
      </c>
      <c r="C6" s="15" t="inlineStr">
        <is>
          <t>Anastasia</t>
        </is>
      </c>
      <c r="D6" s="15" t="inlineStr">
        <is>
          <t>Kister</t>
        </is>
      </c>
      <c r="E6" s="15" t="inlineStr">
        <is>
          <t>MA WING</t>
        </is>
      </c>
      <c r="F6" s="15" t="n">
        <v>726</v>
      </c>
    </row>
    <row r="7">
      <c r="B7" s="15" t="n">
        <v>211052352</v>
      </c>
      <c r="C7" s="15" t="inlineStr">
        <is>
          <t>Brünhild</t>
        </is>
      </c>
      <c r="D7" s="15" t="inlineStr">
        <is>
          <t>Starz</t>
        </is>
      </c>
      <c r="E7" s="15" t="inlineStr">
        <is>
          <t>BA WING</t>
        </is>
      </c>
      <c r="F7" s="15" t="n">
        <v>367</v>
      </c>
    </row>
    <row r="8">
      <c r="B8" s="15" t="n">
        <v>211052353</v>
      </c>
      <c r="C8" s="15" t="inlineStr">
        <is>
          <t>Cäcilia</t>
        </is>
      </c>
      <c r="D8" s="15" t="inlineStr">
        <is>
          <t>Hoenicke</t>
        </is>
      </c>
      <c r="E8" s="15" t="inlineStr">
        <is>
          <t>BA MECH</t>
        </is>
      </c>
      <c r="F8" s="15" t="n">
        <v>367</v>
      </c>
    </row>
    <row r="9">
      <c r="B9" s="15" t="n">
        <v>211052354</v>
      </c>
      <c r="C9" s="15" t="inlineStr">
        <is>
          <t>Christoph</t>
        </is>
      </c>
      <c r="D9" s="15" t="inlineStr">
        <is>
          <t>Alsbach</t>
        </is>
      </c>
      <c r="E9" s="15" t="inlineStr">
        <is>
          <t>MA WING</t>
        </is>
      </c>
      <c r="F9" s="15" t="n">
        <v>726</v>
      </c>
    </row>
    <row r="10">
      <c r="B10" s="15" t="n">
        <v>211052355</v>
      </c>
      <c r="C10" s="15" t="inlineStr">
        <is>
          <t>Claudius</t>
        </is>
      </c>
      <c r="D10" s="15" t="inlineStr">
        <is>
          <t>Hassinger</t>
        </is>
      </c>
      <c r="E10" s="15" t="inlineStr">
        <is>
          <t>BA WING</t>
        </is>
      </c>
      <c r="F10" s="15" t="n">
        <v>367</v>
      </c>
    </row>
    <row r="11">
      <c r="B11" s="15" t="n">
        <v>211052356</v>
      </c>
      <c r="C11" s="15" t="inlineStr">
        <is>
          <t>Kordelia</t>
        </is>
      </c>
      <c r="D11" s="15" t="inlineStr">
        <is>
          <t>Mampel</t>
        </is>
      </c>
      <c r="E11" s="15" t="inlineStr">
        <is>
          <t>BA MECH</t>
        </is>
      </c>
      <c r="F11" s="15" t="n"/>
    </row>
    <row r="12">
      <c r="B12" s="15" t="n">
        <v>211052357</v>
      </c>
      <c r="C12" s="15" t="inlineStr">
        <is>
          <t>Krimhilde</t>
        </is>
      </c>
      <c r="D12" s="15" t="inlineStr">
        <is>
          <t>Blonigen</t>
        </is>
      </c>
      <c r="E12" s="15" t="inlineStr">
        <is>
          <t>MA WING</t>
        </is>
      </c>
      <c r="F12" s="15" t="n">
        <v>726</v>
      </c>
    </row>
    <row r="13">
      <c r="B13" s="15" t="n">
        <v>211052358</v>
      </c>
      <c r="C13" s="15" t="inlineStr">
        <is>
          <t>Leonhard</t>
        </is>
      </c>
      <c r="D13" s="15" t="inlineStr">
        <is>
          <t>Koiou</t>
        </is>
      </c>
      <c r="E13" s="15" t="inlineStr">
        <is>
          <t>BA WING</t>
        </is>
      </c>
      <c r="F13" s="15" t="n">
        <v>367</v>
      </c>
    </row>
    <row r="14">
      <c r="B14" s="15" t="n">
        <v>211052359</v>
      </c>
      <c r="C14" s="15" t="inlineStr">
        <is>
          <t>Marie</t>
        </is>
      </c>
      <c r="D14" s="15" t="inlineStr">
        <is>
          <t>Guez</t>
        </is>
      </c>
      <c r="E14" s="15" t="inlineStr">
        <is>
          <t>BA MECH</t>
        </is>
      </c>
      <c r="F14" s="15" t="n">
        <v>367</v>
      </c>
    </row>
    <row r="15">
      <c r="B15" s="15" t="n">
        <v>211052360</v>
      </c>
      <c r="C15" s="15" t="inlineStr">
        <is>
          <t>Marius</t>
        </is>
      </c>
      <c r="D15" s="15" t="inlineStr">
        <is>
          <t>Niephaus</t>
        </is>
      </c>
      <c r="E15" s="15" t="inlineStr">
        <is>
          <t>MA WING</t>
        </is>
      </c>
      <c r="F15" s="15" t="n">
        <v>726</v>
      </c>
    </row>
    <row r="16">
      <c r="B16" s="15" t="n">
        <v>211052361</v>
      </c>
      <c r="C16" s="15" t="inlineStr">
        <is>
          <t>Nicol</t>
        </is>
      </c>
      <c r="D16" s="15" t="inlineStr">
        <is>
          <t>Beuer</t>
        </is>
      </c>
      <c r="E16" s="15" t="inlineStr">
        <is>
          <t>BA WING</t>
        </is>
      </c>
      <c r="F16" s="15" t="n">
        <v>367</v>
      </c>
    </row>
    <row r="17">
      <c r="B17" s="15" t="n">
        <v>211052362</v>
      </c>
      <c r="C17" s="15" t="inlineStr">
        <is>
          <t>Noah</t>
        </is>
      </c>
      <c r="D17" s="15" t="inlineStr">
        <is>
          <t>Welchar</t>
        </is>
      </c>
      <c r="E17" s="15" t="inlineStr">
        <is>
          <t>BA MECH</t>
        </is>
      </c>
      <c r="F17" s="15" t="n">
        <v>367</v>
      </c>
    </row>
    <row r="18">
      <c r="B18" s="15" t="n">
        <v>211052363</v>
      </c>
      <c r="C18" s="15" t="inlineStr">
        <is>
          <t>Rena</t>
        </is>
      </c>
      <c r="D18" s="15" t="inlineStr">
        <is>
          <t>Bollinger</t>
        </is>
      </c>
      <c r="E18" s="15" t="inlineStr">
        <is>
          <t>MA WING</t>
        </is>
      </c>
      <c r="F18" s="15" t="n">
        <v>726</v>
      </c>
    </row>
    <row r="19">
      <c r="B19" s="15" t="n">
        <v>211052364</v>
      </c>
      <c r="C19" s="15" t="inlineStr">
        <is>
          <t>Resi</t>
        </is>
      </c>
      <c r="D19" s="15" t="inlineStr">
        <is>
          <t>Korf</t>
        </is>
      </c>
      <c r="E19" s="15" t="inlineStr">
        <is>
          <t>BA WING</t>
        </is>
      </c>
      <c r="F19" s="15" t="n">
        <v>367</v>
      </c>
    </row>
    <row r="20">
      <c r="B20" s="15" t="n">
        <v>211052365</v>
      </c>
      <c r="C20" s="15" t="inlineStr">
        <is>
          <t>Stintje</t>
        </is>
      </c>
      <c r="D20" s="15" t="inlineStr">
        <is>
          <t>Beschorner</t>
        </is>
      </c>
      <c r="E20" s="15" t="inlineStr">
        <is>
          <t>BA MECH</t>
        </is>
      </c>
      <c r="F20" s="15" t="n">
        <v>367</v>
      </c>
    </row>
    <row r="21">
      <c r="B21" s="15" t="n">
        <v>211052366</v>
      </c>
      <c r="C21" s="15" t="inlineStr">
        <is>
          <t>Theodore</t>
        </is>
      </c>
      <c r="D21" s="15" t="inlineStr">
        <is>
          <t>Vita</t>
        </is>
      </c>
      <c r="E21" s="15" t="inlineStr">
        <is>
          <t>MA WING</t>
        </is>
      </c>
      <c r="F21" s="15" t="n">
        <v>726</v>
      </c>
    </row>
    <row r="22">
      <c r="B22" s="15" t="n">
        <v>211052367</v>
      </c>
      <c r="C22" s="15" t="inlineStr">
        <is>
          <t>Ula</t>
        </is>
      </c>
      <c r="D22" s="15" t="inlineStr">
        <is>
          <t>Kubis</t>
        </is>
      </c>
      <c r="E22" s="15" t="inlineStr">
        <is>
          <t>BA WING</t>
        </is>
      </c>
      <c r="F22" s="15" t="n">
        <v>367</v>
      </c>
    </row>
    <row r="23">
      <c r="B23" s="15" t="n">
        <v>211052368</v>
      </c>
      <c r="C23" s="15" t="inlineStr">
        <is>
          <t>Wendy</t>
        </is>
      </c>
      <c r="D23" s="15" t="inlineStr">
        <is>
          <t>Edler</t>
        </is>
      </c>
      <c r="E23" s="15" t="inlineStr">
        <is>
          <t>BA MECH</t>
        </is>
      </c>
      <c r="F23" s="15" t="n">
        <v>367</v>
      </c>
    </row>
    <row r="24">
      <c r="B24" s="15" t="n">
        <v>211052369</v>
      </c>
      <c r="C24" s="15" t="inlineStr">
        <is>
          <t>Alfreda</t>
        </is>
      </c>
      <c r="D24" s="15" t="inlineStr">
        <is>
          <t>Risken</t>
        </is>
      </c>
      <c r="E24" s="15" t="inlineStr">
        <is>
          <t>MA WING</t>
        </is>
      </c>
      <c r="F24" s="15" t="n">
        <v>726</v>
      </c>
    </row>
    <row r="25">
      <c r="B25" s="15" t="n">
        <v>211052370</v>
      </c>
      <c r="C25" s="15" t="inlineStr">
        <is>
          <t>Antje</t>
        </is>
      </c>
      <c r="D25" s="15" t="inlineStr">
        <is>
          <t>Mirschberger</t>
        </is>
      </c>
      <c r="E25" s="15" t="inlineStr">
        <is>
          <t>BA WING</t>
        </is>
      </c>
      <c r="F25" s="15" t="n">
        <v>367</v>
      </c>
    </row>
    <row r="26">
      <c r="B26" s="15" t="n">
        <v>211052371</v>
      </c>
      <c r="C26" s="15" t="inlineStr">
        <is>
          <t>Arthur</t>
        </is>
      </c>
      <c r="D26" s="15" t="inlineStr">
        <is>
          <t>Priesmeier</t>
        </is>
      </c>
      <c r="E26" s="15" t="inlineStr">
        <is>
          <t>BA MECH</t>
        </is>
      </c>
      <c r="F26" s="15" t="n">
        <v>367</v>
      </c>
    </row>
    <row r="27">
      <c r="B27" s="15" t="n">
        <v>211052372</v>
      </c>
      <c r="C27" s="15" t="inlineStr">
        <is>
          <t>Cäsar</t>
        </is>
      </c>
      <c r="D27" s="15" t="inlineStr">
        <is>
          <t>Silber</t>
        </is>
      </c>
      <c r="E27" s="15" t="inlineStr">
        <is>
          <t>MA WING</t>
        </is>
      </c>
      <c r="F27" s="15" t="n"/>
    </row>
    <row r="28">
      <c r="B28" s="15" t="n">
        <v>211052373</v>
      </c>
      <c r="C28" s="15" t="inlineStr">
        <is>
          <t>Delfred</t>
        </is>
      </c>
      <c r="D28" s="15" t="inlineStr">
        <is>
          <t>Ehmig</t>
        </is>
      </c>
      <c r="E28" s="15" t="inlineStr">
        <is>
          <t>BA WING</t>
        </is>
      </c>
      <c r="F28" s="15" t="n">
        <v>367</v>
      </c>
    </row>
    <row r="29">
      <c r="B29" s="15" t="n">
        <v>211052374</v>
      </c>
      <c r="C29" s="15" t="inlineStr">
        <is>
          <t>Erna</t>
        </is>
      </c>
      <c r="D29" s="15" t="inlineStr">
        <is>
          <t>Himbert</t>
        </is>
      </c>
      <c r="E29" s="15" t="inlineStr">
        <is>
          <t>BA MECH</t>
        </is>
      </c>
      <c r="F29" s="15" t="n">
        <v>367</v>
      </c>
    </row>
    <row r="30">
      <c r="B30" s="15" t="n">
        <v>211052375</v>
      </c>
      <c r="C30" s="15" t="inlineStr">
        <is>
          <t>Filipp</t>
        </is>
      </c>
      <c r="D30" s="15" t="inlineStr">
        <is>
          <t>Turri</t>
        </is>
      </c>
      <c r="E30" s="15" t="inlineStr">
        <is>
          <t>MA WING</t>
        </is>
      </c>
      <c r="F30" s="15" t="n">
        <v>726</v>
      </c>
    </row>
    <row r="31">
      <c r="B31" s="15" t="n">
        <v>211052376</v>
      </c>
      <c r="C31" s="15" t="inlineStr">
        <is>
          <t>Gregor</t>
        </is>
      </c>
      <c r="D31" s="15" t="inlineStr">
        <is>
          <t>Aigner</t>
        </is>
      </c>
      <c r="E31" s="15" t="inlineStr">
        <is>
          <t>BA WING</t>
        </is>
      </c>
      <c r="F31" s="15" t="n">
        <v>367</v>
      </c>
    </row>
    <row r="32">
      <c r="B32" s="15" t="n">
        <v>211052377</v>
      </c>
      <c r="C32" s="15" t="inlineStr">
        <is>
          <t>Hanna</t>
        </is>
      </c>
      <c r="D32" s="15" t="inlineStr">
        <is>
          <t>Brunner</t>
        </is>
      </c>
      <c r="E32" s="15" t="inlineStr">
        <is>
          <t>BA MECH</t>
        </is>
      </c>
      <c r="F32" s="15" t="n">
        <v>367</v>
      </c>
    </row>
    <row r="33">
      <c r="B33" s="15" t="n">
        <v>211052378</v>
      </c>
      <c r="C33" s="15" t="inlineStr">
        <is>
          <t>Ingo</t>
        </is>
      </c>
      <c r="D33" s="15" t="inlineStr">
        <is>
          <t>Cerny</t>
        </is>
      </c>
      <c r="E33" s="15" t="inlineStr">
        <is>
          <t>MA WING</t>
        </is>
      </c>
      <c r="F33" s="15" t="n">
        <v>726</v>
      </c>
    </row>
    <row r="34">
      <c r="B34" s="15" t="n">
        <v>211052379</v>
      </c>
      <c r="C34" s="15" t="inlineStr">
        <is>
          <t>Jonas</t>
        </is>
      </c>
      <c r="D34" s="15" t="inlineStr">
        <is>
          <t>Dorfer</t>
        </is>
      </c>
      <c r="E34" s="15" t="inlineStr">
        <is>
          <t>BA WING</t>
        </is>
      </c>
      <c r="F34" s="15" t="n">
        <v>367</v>
      </c>
    </row>
    <row r="35">
      <c r="B35" s="15" t="n">
        <v>211052380</v>
      </c>
      <c r="C35" s="15" t="inlineStr">
        <is>
          <t>Katrin</t>
        </is>
      </c>
      <c r="D35" s="15" t="inlineStr">
        <is>
          <t>Ebner</t>
        </is>
      </c>
      <c r="E35" s="15" t="inlineStr">
        <is>
          <t>BA MECH</t>
        </is>
      </c>
      <c r="F35" s="15" t="n">
        <v>367</v>
      </c>
    </row>
    <row r="36">
      <c r="B36" s="15" t="n">
        <v>211052381</v>
      </c>
      <c r="C36" s="15" t="inlineStr">
        <is>
          <t>Lukas</t>
        </is>
      </c>
      <c r="D36" s="15" t="inlineStr">
        <is>
          <t>Fasching</t>
        </is>
      </c>
      <c r="E36" s="15" t="inlineStr">
        <is>
          <t>MA WING</t>
        </is>
      </c>
      <c r="F36" s="15" t="n">
        <v>726</v>
      </c>
    </row>
    <row r="37">
      <c r="B37" s="15" t="n">
        <v>211052382</v>
      </c>
      <c r="C37" s="15" t="inlineStr">
        <is>
          <t>Melanie</t>
        </is>
      </c>
      <c r="D37" s="15" t="inlineStr">
        <is>
          <t>Gruber</t>
        </is>
      </c>
      <c r="E37" s="15" t="inlineStr">
        <is>
          <t>BA WING</t>
        </is>
      </c>
      <c r="F37" s="15" t="n">
        <v>367</v>
      </c>
    </row>
    <row r="38">
      <c r="B38" s="15" t="n">
        <v>211052383</v>
      </c>
      <c r="C38" s="15" t="inlineStr">
        <is>
          <t>Nils</t>
        </is>
      </c>
      <c r="D38" s="15" t="inlineStr">
        <is>
          <t>Hofer</t>
        </is>
      </c>
      <c r="E38" s="15" t="inlineStr">
        <is>
          <t>BA MECH</t>
        </is>
      </c>
      <c r="F38" s="15" t="n">
        <v>367</v>
      </c>
    </row>
    <row r="39">
      <c r="B39" s="15" t="n">
        <v>211052384</v>
      </c>
      <c r="C39" s="15" t="inlineStr">
        <is>
          <t>Olga</t>
        </is>
      </c>
      <c r="D39" s="15" t="inlineStr">
        <is>
          <t>Illich</t>
        </is>
      </c>
      <c r="E39" s="15" t="inlineStr">
        <is>
          <t>MA WING</t>
        </is>
      </c>
      <c r="F39" s="15" t="n">
        <v>726</v>
      </c>
    </row>
    <row r="40">
      <c r="B40" s="15" t="n">
        <v>211052385</v>
      </c>
      <c r="C40" s="15" t="inlineStr">
        <is>
          <t>Paul</t>
        </is>
      </c>
      <c r="D40" s="15" t="inlineStr">
        <is>
          <t>Jandl</t>
        </is>
      </c>
      <c r="E40" s="15" t="inlineStr">
        <is>
          <t>BA WING</t>
        </is>
      </c>
      <c r="F40" s="15" t="n">
        <v>367</v>
      </c>
    </row>
    <row r="41">
      <c r="B41" s="15" t="n">
        <v>211052386</v>
      </c>
      <c r="C41" s="15" t="inlineStr">
        <is>
          <t>Quirin</t>
        </is>
      </c>
      <c r="D41" s="15" t="inlineStr">
        <is>
          <t>Kogler</t>
        </is>
      </c>
      <c r="E41" s="15" t="inlineStr">
        <is>
          <t>BA MECH</t>
        </is>
      </c>
      <c r="F41" s="15" t="n">
        <v>367</v>
      </c>
    </row>
    <row r="42">
      <c r="B42" s="15" t="n">
        <v>211052387</v>
      </c>
      <c r="C42" s="15" t="inlineStr">
        <is>
          <t>Rosa</t>
        </is>
      </c>
      <c r="D42" s="15" t="inlineStr">
        <is>
          <t>Lechner</t>
        </is>
      </c>
      <c r="E42" s="15" t="inlineStr">
        <is>
          <t>MA WING</t>
        </is>
      </c>
      <c r="F42" s="15" t="n">
        <v>726</v>
      </c>
    </row>
    <row r="43">
      <c r="B43" s="15" t="n">
        <v>211052388</v>
      </c>
      <c r="C43" s="15" t="inlineStr">
        <is>
          <t>Simon</t>
        </is>
      </c>
      <c r="D43" s="15" t="inlineStr">
        <is>
          <t>Marek</t>
        </is>
      </c>
      <c r="E43" s="15" t="inlineStr">
        <is>
          <t>BA WING</t>
        </is>
      </c>
      <c r="F43" s="15" t="n">
        <v>367</v>
      </c>
    </row>
    <row r="44">
      <c r="B44" s="15" t="n">
        <v>211052389</v>
      </c>
      <c r="C44" s="15" t="inlineStr">
        <is>
          <t>Adelhelm</t>
        </is>
      </c>
      <c r="D44" s="15" t="inlineStr">
        <is>
          <t>Fedder40</t>
        </is>
      </c>
      <c r="E44" s="15" t="inlineStr">
        <is>
          <t>BA MECH</t>
        </is>
      </c>
      <c r="F44" s="15" t="n">
        <v>367</v>
      </c>
    </row>
    <row r="45">
      <c r="B45" s="15" t="n">
        <v>211052390</v>
      </c>
      <c r="C45" s="15" t="inlineStr">
        <is>
          <t>Almar</t>
        </is>
      </c>
      <c r="D45" s="15" t="inlineStr">
        <is>
          <t>Tabbert41</t>
        </is>
      </c>
      <c r="E45" s="15" t="inlineStr">
        <is>
          <t>MA WING</t>
        </is>
      </c>
      <c r="F45" s="15" t="n"/>
    </row>
    <row r="46">
      <c r="B46" s="15" t="n">
        <v>211052391</v>
      </c>
      <c r="C46" s="15" t="inlineStr">
        <is>
          <t>Anastasia</t>
        </is>
      </c>
      <c r="D46" s="15" t="inlineStr">
        <is>
          <t>Kister42</t>
        </is>
      </c>
      <c r="E46" s="15" t="inlineStr">
        <is>
          <t>BA WING</t>
        </is>
      </c>
      <c r="F46" s="15" t="n">
        <v>367</v>
      </c>
    </row>
    <row r="47">
      <c r="B47" s="15" t="n">
        <v>211052392</v>
      </c>
      <c r="C47" s="15" t="inlineStr">
        <is>
          <t>Brünhild</t>
        </is>
      </c>
      <c r="D47" s="15" t="inlineStr">
        <is>
          <t>Starz43</t>
        </is>
      </c>
      <c r="E47" s="15" t="inlineStr">
        <is>
          <t>BA MECH</t>
        </is>
      </c>
      <c r="F47" s="15" t="n">
        <v>367</v>
      </c>
    </row>
    <row r="48">
      <c r="B48" s="15" t="n">
        <v>211052393</v>
      </c>
      <c r="C48" s="15" t="inlineStr">
        <is>
          <t>Cäcilia</t>
        </is>
      </c>
      <c r="D48" s="15" t="inlineStr">
        <is>
          <t>Hoenicke44</t>
        </is>
      </c>
      <c r="E48" s="15" t="inlineStr">
        <is>
          <t>MA WING</t>
        </is>
      </c>
      <c r="F48" s="15" t="n">
        <v>726</v>
      </c>
    </row>
    <row r="49">
      <c r="B49" s="15" t="n">
        <v>211052394</v>
      </c>
      <c r="C49" s="15" t="inlineStr">
        <is>
          <t>Christoph</t>
        </is>
      </c>
      <c r="D49" s="15" t="inlineStr">
        <is>
          <t>Alsbach45</t>
        </is>
      </c>
      <c r="E49" s="15" t="inlineStr">
        <is>
          <t>BA WING</t>
        </is>
      </c>
      <c r="F49" s="15" t="n">
        <v>367</v>
      </c>
    </row>
    <row r="50">
      <c r="B50" s="15" t="n">
        <v>211052395</v>
      </c>
      <c r="C50" s="15" t="inlineStr">
        <is>
          <t>Claudius</t>
        </is>
      </c>
      <c r="D50" s="15" t="inlineStr">
        <is>
          <t>Hassinger46</t>
        </is>
      </c>
      <c r="E50" s="15" t="inlineStr">
        <is>
          <t>BA MECH</t>
        </is>
      </c>
      <c r="F50" s="15" t="n">
        <v>367</v>
      </c>
    </row>
    <row r="51">
      <c r="B51" s="15" t="n">
        <v>211052396</v>
      </c>
      <c r="C51" s="15" t="inlineStr">
        <is>
          <t>Kordelia</t>
        </is>
      </c>
      <c r="D51" s="15" t="inlineStr">
        <is>
          <t>Mampel47</t>
        </is>
      </c>
      <c r="E51" s="15" t="inlineStr">
        <is>
          <t>MA WING</t>
        </is>
      </c>
      <c r="F51" s="15" t="n">
        <v>726</v>
      </c>
    </row>
    <row r="52">
      <c r="B52" s="15" t="n">
        <v>211052397</v>
      </c>
      <c r="C52" s="15" t="inlineStr">
        <is>
          <t>Krimhilde</t>
        </is>
      </c>
      <c r="D52" s="15" t="inlineStr">
        <is>
          <t>Blonigen48</t>
        </is>
      </c>
      <c r="E52" s="15" t="inlineStr">
        <is>
          <t>BA WING</t>
        </is>
      </c>
      <c r="F52" s="15" t="n">
        <v>367</v>
      </c>
    </row>
    <row r="53">
      <c r="B53" s="15" t="n">
        <v>211052398</v>
      </c>
      <c r="C53" s="15" t="inlineStr">
        <is>
          <t>Leonhard</t>
        </is>
      </c>
      <c r="D53" s="15" t="inlineStr">
        <is>
          <t>Koiou49</t>
        </is>
      </c>
      <c r="E53" s="15" t="inlineStr">
        <is>
          <t>BA MECH</t>
        </is>
      </c>
      <c r="F53" s="15" t="n">
        <v>367</v>
      </c>
    </row>
    <row r="54">
      <c r="B54" s="15" t="n">
        <v>211052399</v>
      </c>
      <c r="C54" s="15" t="inlineStr">
        <is>
          <t>Marie</t>
        </is>
      </c>
      <c r="D54" s="15" t="inlineStr">
        <is>
          <t>Guez50</t>
        </is>
      </c>
      <c r="E54" s="15" t="inlineStr">
        <is>
          <t>MA WING</t>
        </is>
      </c>
      <c r="F54" s="15" t="n">
        <v>726</v>
      </c>
    </row>
    <row r="55">
      <c r="B55" s="15" t="n">
        <v>211052400</v>
      </c>
      <c r="C55" s="15" t="inlineStr">
        <is>
          <t>Marius</t>
        </is>
      </c>
      <c r="D55" s="15" t="inlineStr">
        <is>
          <t>Niephaus51</t>
        </is>
      </c>
      <c r="E55" s="15" t="inlineStr">
        <is>
          <t>BA WING</t>
        </is>
      </c>
      <c r="F55" s="15" t="n">
        <v>367</v>
      </c>
    </row>
    <row r="56">
      <c r="B56" s="15" t="n">
        <v>211052401</v>
      </c>
      <c r="C56" s="15" t="inlineStr">
        <is>
          <t>Nicol</t>
        </is>
      </c>
      <c r="D56" s="15" t="inlineStr">
        <is>
          <t>Beuer52</t>
        </is>
      </c>
      <c r="E56" s="15" t="inlineStr">
        <is>
          <t>BA MECH</t>
        </is>
      </c>
      <c r="F56" s="15" t="n">
        <v>367</v>
      </c>
    </row>
    <row r="57">
      <c r="B57" s="15" t="n">
        <v>211052402</v>
      </c>
      <c r="C57" s="15" t="inlineStr">
        <is>
          <t>Noah</t>
        </is>
      </c>
      <c r="D57" s="15" t="inlineStr">
        <is>
          <t>Welchar53</t>
        </is>
      </c>
      <c r="E57" s="15" t="inlineStr">
        <is>
          <t>MA WING</t>
        </is>
      </c>
      <c r="F57" s="15" t="n">
        <v>726</v>
      </c>
    </row>
    <row r="58">
      <c r="B58" s="15" t="n">
        <v>211052403</v>
      </c>
      <c r="C58" s="15" t="inlineStr">
        <is>
          <t>Rena</t>
        </is>
      </c>
      <c r="D58" s="15" t="inlineStr">
        <is>
          <t>Bollinger54</t>
        </is>
      </c>
      <c r="E58" s="15" t="inlineStr">
        <is>
          <t>BA WING</t>
        </is>
      </c>
      <c r="F58" s="15" t="n">
        <v>367</v>
      </c>
    </row>
    <row r="59">
      <c r="B59" s="15" t="n">
        <v>211052404</v>
      </c>
      <c r="C59" s="15" t="inlineStr">
        <is>
          <t>Resi</t>
        </is>
      </c>
      <c r="D59" s="15" t="inlineStr">
        <is>
          <t>Korf55</t>
        </is>
      </c>
      <c r="E59" s="15" t="inlineStr">
        <is>
          <t>BA MECH</t>
        </is>
      </c>
      <c r="F59" s="15" t="n"/>
    </row>
    <row r="60">
      <c r="B60" s="15" t="n">
        <v>211052405</v>
      </c>
      <c r="C60" s="15" t="inlineStr">
        <is>
          <t>Stintje</t>
        </is>
      </c>
      <c r="D60" s="15" t="inlineStr">
        <is>
          <t>Beschorner56</t>
        </is>
      </c>
      <c r="E60" s="15" t="inlineStr">
        <is>
          <t>MA WING</t>
        </is>
      </c>
      <c r="F60" s="15" t="n">
        <v>726</v>
      </c>
    </row>
    <row r="61">
      <c r="B61" s="15" t="n">
        <v>211052406</v>
      </c>
      <c r="C61" s="15" t="inlineStr">
        <is>
          <t>Theodore</t>
        </is>
      </c>
      <c r="D61" s="15" t="inlineStr">
        <is>
          <t>Vita57</t>
        </is>
      </c>
      <c r="E61" s="15" t="inlineStr">
        <is>
          <t>BA WING</t>
        </is>
      </c>
      <c r="F61" s="15" t="n">
        <v>367</v>
      </c>
    </row>
    <row r="62">
      <c r="B62" s="15" t="n">
        <v>211052407</v>
      </c>
      <c r="C62" s="15" t="inlineStr">
        <is>
          <t>Ula</t>
        </is>
      </c>
      <c r="D62" s="15" t="inlineStr">
        <is>
          <t>Kubis58</t>
        </is>
      </c>
      <c r="E62" s="15" t="inlineStr">
        <is>
          <t>BA MECH</t>
        </is>
      </c>
      <c r="F62" s="15" t="n">
        <v>367</v>
      </c>
    </row>
    <row r="63">
      <c r="B63" s="15" t="n">
        <v>211052408</v>
      </c>
      <c r="C63" s="15" t="inlineStr">
        <is>
          <t>Wendy</t>
        </is>
      </c>
      <c r="D63" s="15" t="inlineStr">
        <is>
          <t>Edler59</t>
        </is>
      </c>
      <c r="E63" s="15" t="inlineStr">
        <is>
          <t>MA WING</t>
        </is>
      </c>
      <c r="F63" s="15" t="n">
        <v>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1:D12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</cols>
  <sheetData>
    <row r="1">
      <c r="B1" s="1" t="inlineStr">
        <is>
          <t>Noten  -  Rohdaten, bitte nicht verändern</t>
        </is>
      </c>
    </row>
    <row r="3">
      <c r="B3" s="11" t="inlineStr">
        <is>
          <t>Matrikelnummer</t>
        </is>
      </c>
      <c r="C3" s="11" t="inlineStr">
        <is>
          <t>LV</t>
        </is>
      </c>
      <c r="D3" s="11" t="inlineStr">
        <is>
          <t>Punkte</t>
        </is>
      </c>
    </row>
    <row r="4">
      <c r="B4" s="15" t="n">
        <v>211052349</v>
      </c>
      <c r="C4" s="15" t="inlineStr">
        <is>
          <t>INF</t>
        </is>
      </c>
      <c r="D4" s="15" t="n">
        <v>66</v>
      </c>
    </row>
    <row r="5">
      <c r="B5" s="15" t="n">
        <v>211052349</v>
      </c>
      <c r="C5" s="15" t="inlineStr">
        <is>
          <t>MAT</t>
        </is>
      </c>
      <c r="D5" s="15" t="n">
        <v>53</v>
      </c>
    </row>
    <row r="6">
      <c r="B6" s="15" t="n">
        <v>211052350</v>
      </c>
      <c r="C6" s="15" t="inlineStr">
        <is>
          <t>INF</t>
        </is>
      </c>
      <c r="D6" s="15" t="n">
        <v>96</v>
      </c>
    </row>
    <row r="7">
      <c r="B7" s="15" t="n">
        <v>211052350</v>
      </c>
      <c r="C7" s="15" t="inlineStr">
        <is>
          <t>PHY</t>
        </is>
      </c>
      <c r="D7" s="15" t="n">
        <v>59</v>
      </c>
    </row>
    <row r="8">
      <c r="B8" s="15" t="n">
        <v>211052351</v>
      </c>
      <c r="C8" s="15" t="inlineStr">
        <is>
          <t>INF</t>
        </is>
      </c>
      <c r="D8" s="15" t="n">
        <v>81</v>
      </c>
    </row>
    <row r="9">
      <c r="B9" s="15" t="n">
        <v>211052351</v>
      </c>
      <c r="C9" s="15" t="inlineStr">
        <is>
          <t>PHY</t>
        </is>
      </c>
      <c r="D9" s="15" t="n">
        <v>95</v>
      </c>
    </row>
    <row r="10">
      <c r="B10" s="15" t="n">
        <v>211052352</v>
      </c>
      <c r="C10" s="15" t="inlineStr">
        <is>
          <t>BWL</t>
        </is>
      </c>
      <c r="D10" s="15" t="n">
        <v>67</v>
      </c>
    </row>
    <row r="11">
      <c r="B11" s="15" t="n">
        <v>211052352</v>
      </c>
      <c r="C11" s="15" t="inlineStr">
        <is>
          <t>MAT</t>
        </is>
      </c>
      <c r="D11" s="15" t="n">
        <v>97</v>
      </c>
    </row>
    <row r="12">
      <c r="B12" s="15" t="n">
        <v>211052353</v>
      </c>
      <c r="C12" s="15" t="inlineStr">
        <is>
          <t>PHY</t>
        </is>
      </c>
      <c r="D12" s="15" t="n">
        <v>54</v>
      </c>
    </row>
    <row r="13">
      <c r="B13" s="15" t="n">
        <v>211052353</v>
      </c>
      <c r="C13" s="15" t="inlineStr">
        <is>
          <t>DBI</t>
        </is>
      </c>
      <c r="D13" s="15" t="n">
        <v>87</v>
      </c>
    </row>
    <row r="14">
      <c r="B14" s="15" t="n">
        <v>211052354</v>
      </c>
      <c r="C14" s="15" t="inlineStr">
        <is>
          <t>MAT</t>
        </is>
      </c>
      <c r="D14" s="15" t="n">
        <v>80</v>
      </c>
    </row>
    <row r="15">
      <c r="B15" s="15" t="n">
        <v>211052354</v>
      </c>
      <c r="C15" s="15" t="inlineStr">
        <is>
          <t>BWL</t>
        </is>
      </c>
      <c r="D15" s="15" t="n">
        <v>35</v>
      </c>
    </row>
    <row r="16">
      <c r="B16" s="15" t="n">
        <v>211052355</v>
      </c>
      <c r="C16" s="15" t="inlineStr">
        <is>
          <t>PHY</t>
        </is>
      </c>
      <c r="D16" s="15" t="n">
        <v>87</v>
      </c>
    </row>
    <row r="17">
      <c r="B17" s="15" t="n">
        <v>211052355</v>
      </c>
      <c r="C17" s="15" t="inlineStr">
        <is>
          <t>INF</t>
        </is>
      </c>
      <c r="D17" s="15" t="n">
        <v>43</v>
      </c>
    </row>
    <row r="18">
      <c r="B18" s="15" t="n">
        <v>211052356</v>
      </c>
      <c r="C18" s="15" t="inlineStr">
        <is>
          <t>MAT</t>
        </is>
      </c>
      <c r="D18" s="15" t="n">
        <v>77</v>
      </c>
    </row>
    <row r="19">
      <c r="B19" s="15" t="n">
        <v>211052356</v>
      </c>
      <c r="C19" s="15" t="inlineStr">
        <is>
          <t>PHY</t>
        </is>
      </c>
      <c r="D19" s="15" t="n">
        <v>70</v>
      </c>
    </row>
    <row r="20">
      <c r="B20" s="15" t="n">
        <v>211052357</v>
      </c>
      <c r="C20" s="15" t="inlineStr">
        <is>
          <t>PHY</t>
        </is>
      </c>
      <c r="D20" s="15" t="n">
        <v>69</v>
      </c>
    </row>
    <row r="21">
      <c r="B21" s="15" t="n">
        <v>211052357</v>
      </c>
      <c r="C21" s="15" t="inlineStr">
        <is>
          <t>MAT</t>
        </is>
      </c>
      <c r="D21" s="15" t="n">
        <v>82</v>
      </c>
    </row>
    <row r="22">
      <c r="B22" s="15" t="n">
        <v>211052358</v>
      </c>
      <c r="C22" s="15" t="inlineStr">
        <is>
          <t>INF</t>
        </is>
      </c>
      <c r="D22" s="15" t="n">
        <v>100</v>
      </c>
    </row>
    <row r="23">
      <c r="B23" s="15" t="n">
        <v>211052358</v>
      </c>
      <c r="C23" s="15" t="inlineStr">
        <is>
          <t>PHY</t>
        </is>
      </c>
      <c r="D23" s="15" t="n">
        <v>55</v>
      </c>
    </row>
    <row r="24">
      <c r="B24" s="15" t="n">
        <v>211052359</v>
      </c>
      <c r="C24" s="15" t="inlineStr">
        <is>
          <t>INF</t>
        </is>
      </c>
      <c r="D24" s="15" t="n">
        <v>54</v>
      </c>
    </row>
    <row r="25">
      <c r="B25" s="15" t="n">
        <v>211052359</v>
      </c>
      <c r="C25" s="15" t="inlineStr">
        <is>
          <t>MAT</t>
        </is>
      </c>
      <c r="D25" s="15" t="n">
        <v>33</v>
      </c>
    </row>
    <row r="26">
      <c r="B26" s="15" t="n">
        <v>211052360</v>
      </c>
      <c r="C26" s="15" t="inlineStr">
        <is>
          <t>MAT</t>
        </is>
      </c>
      <c r="D26" s="15" t="n">
        <v>61</v>
      </c>
    </row>
    <row r="27">
      <c r="B27" s="15" t="n">
        <v>211052360</v>
      </c>
      <c r="C27" s="15" t="inlineStr">
        <is>
          <t>DBI</t>
        </is>
      </c>
      <c r="D27" s="15" t="n">
        <v>92</v>
      </c>
    </row>
    <row r="28">
      <c r="B28" s="15" t="n">
        <v>211052361</v>
      </c>
      <c r="C28" s="15" t="inlineStr">
        <is>
          <t>PHY</t>
        </is>
      </c>
      <c r="D28" s="15" t="n">
        <v>42</v>
      </c>
    </row>
    <row r="29">
      <c r="B29" s="15" t="n">
        <v>211052361</v>
      </c>
      <c r="C29" s="15" t="inlineStr">
        <is>
          <t>INF</t>
        </is>
      </c>
      <c r="D29" s="15" t="n">
        <v>70</v>
      </c>
    </row>
    <row r="30">
      <c r="B30" s="15" t="n">
        <v>211052362</v>
      </c>
      <c r="C30" s="15" t="inlineStr">
        <is>
          <t>BWL</t>
        </is>
      </c>
      <c r="D30" s="15" t="n">
        <v>58</v>
      </c>
    </row>
    <row r="31">
      <c r="B31" s="15" t="n">
        <v>211052362</v>
      </c>
      <c r="C31" s="15" t="inlineStr">
        <is>
          <t>MAT</t>
        </is>
      </c>
      <c r="D31" s="15" t="n">
        <v>87</v>
      </c>
    </row>
    <row r="32">
      <c r="B32" s="15" t="n">
        <v>211052363</v>
      </c>
      <c r="C32" s="15" t="inlineStr">
        <is>
          <t>PHY</t>
        </is>
      </c>
      <c r="D32" s="15" t="n">
        <v>53</v>
      </c>
    </row>
    <row r="33">
      <c r="B33" s="15" t="n">
        <v>211052363</v>
      </c>
      <c r="C33" s="15" t="inlineStr">
        <is>
          <t>MAT</t>
        </is>
      </c>
      <c r="D33" s="15" t="n">
        <v>75</v>
      </c>
    </row>
    <row r="34">
      <c r="B34" s="15" t="n">
        <v>211052364</v>
      </c>
      <c r="C34" s="15" t="inlineStr">
        <is>
          <t>INF</t>
        </is>
      </c>
      <c r="D34" s="15" t="n">
        <v>61</v>
      </c>
    </row>
    <row r="35">
      <c r="B35" s="15" t="n">
        <v>211052364</v>
      </c>
      <c r="C35" s="15" t="inlineStr">
        <is>
          <t>MAT</t>
        </is>
      </c>
      <c r="D35" s="15" t="n">
        <v>77</v>
      </c>
    </row>
    <row r="36">
      <c r="B36" s="15" t="n">
        <v>211052365</v>
      </c>
      <c r="C36" s="15" t="inlineStr">
        <is>
          <t>BWL</t>
        </is>
      </c>
      <c r="D36" s="15" t="n">
        <v>70</v>
      </c>
    </row>
    <row r="37">
      <c r="B37" s="15" t="n">
        <v>211052365</v>
      </c>
      <c r="C37" s="15" t="inlineStr">
        <is>
          <t>PHY</t>
        </is>
      </c>
      <c r="D37" s="15" t="n">
        <v>87</v>
      </c>
    </row>
    <row r="38">
      <c r="B38" s="15" t="n">
        <v>211052366</v>
      </c>
      <c r="C38" s="15" t="inlineStr">
        <is>
          <t>MAT</t>
        </is>
      </c>
      <c r="D38" s="15" t="n">
        <v>70</v>
      </c>
    </row>
    <row r="39">
      <c r="B39" s="15" t="n">
        <v>211052366</v>
      </c>
      <c r="C39" s="15" t="inlineStr">
        <is>
          <t>BWL</t>
        </is>
      </c>
      <c r="D39" s="15" t="n">
        <v>54</v>
      </c>
    </row>
    <row r="40">
      <c r="B40" s="15" t="n">
        <v>211052367</v>
      </c>
      <c r="C40" s="15" t="inlineStr">
        <is>
          <t>BWL</t>
        </is>
      </c>
      <c r="D40" s="15" t="n">
        <v>40</v>
      </c>
    </row>
    <row r="41">
      <c r="B41" s="15" t="n">
        <v>211052367</v>
      </c>
      <c r="C41" s="15" t="inlineStr">
        <is>
          <t>DBI</t>
        </is>
      </c>
      <c r="D41" s="15" t="n">
        <v>50</v>
      </c>
    </row>
    <row r="42">
      <c r="B42" s="15" t="n">
        <v>211052368</v>
      </c>
      <c r="C42" s="15" t="inlineStr">
        <is>
          <t>DBI</t>
        </is>
      </c>
      <c r="D42" s="15" t="n">
        <v>84</v>
      </c>
    </row>
    <row r="43">
      <c r="B43" s="15" t="n">
        <v>211052368</v>
      </c>
      <c r="C43" s="15" t="inlineStr">
        <is>
          <t>MAT</t>
        </is>
      </c>
      <c r="D43" s="15" t="n">
        <v>58</v>
      </c>
    </row>
    <row r="44">
      <c r="B44" s="15" t="n">
        <v>211052369</v>
      </c>
      <c r="C44" s="15" t="inlineStr">
        <is>
          <t>PHY</t>
        </is>
      </c>
      <c r="D44" s="15" t="n">
        <v>38</v>
      </c>
    </row>
    <row r="45">
      <c r="B45" s="15" t="n">
        <v>211052369</v>
      </c>
      <c r="C45" s="15" t="inlineStr">
        <is>
          <t>MAT</t>
        </is>
      </c>
      <c r="D45" s="15" t="n">
        <v>53</v>
      </c>
    </row>
    <row r="46">
      <c r="B46" s="15" t="n">
        <v>211052370</v>
      </c>
      <c r="C46" s="15" t="inlineStr">
        <is>
          <t>PHY</t>
        </is>
      </c>
      <c r="D46" s="15" t="n">
        <v>87</v>
      </c>
    </row>
    <row r="47">
      <c r="B47" s="15" t="n">
        <v>211052370</v>
      </c>
      <c r="C47" s="15" t="inlineStr">
        <is>
          <t>MAT</t>
        </is>
      </c>
      <c r="D47" s="15" t="n">
        <v>61</v>
      </c>
    </row>
    <row r="48">
      <c r="B48" s="15" t="n">
        <v>211052371</v>
      </c>
      <c r="C48" s="15" t="inlineStr">
        <is>
          <t>INF</t>
        </is>
      </c>
      <c r="D48" s="15" t="n">
        <v>81</v>
      </c>
    </row>
    <row r="49">
      <c r="B49" s="15" t="n">
        <v>211052371</v>
      </c>
      <c r="C49" s="15" t="inlineStr">
        <is>
          <t>BWL</t>
        </is>
      </c>
      <c r="D49" s="15" t="n">
        <v>53</v>
      </c>
    </row>
    <row r="50">
      <c r="B50" s="15" t="n">
        <v>211052372</v>
      </c>
      <c r="C50" s="15" t="inlineStr">
        <is>
          <t>DBI</t>
        </is>
      </c>
      <c r="D50" s="15" t="n">
        <v>66</v>
      </c>
    </row>
    <row r="51">
      <c r="B51" s="15" t="n">
        <v>211052372</v>
      </c>
      <c r="C51" s="15" t="inlineStr">
        <is>
          <t>PHY</t>
        </is>
      </c>
      <c r="D51" s="15" t="n">
        <v>63</v>
      </c>
    </row>
    <row r="52">
      <c r="B52" s="15" t="n">
        <v>211052373</v>
      </c>
      <c r="C52" s="15" t="inlineStr">
        <is>
          <t>MAT</t>
        </is>
      </c>
      <c r="D52" s="15" t="n">
        <v>95</v>
      </c>
    </row>
    <row r="53">
      <c r="B53" s="15" t="n">
        <v>211052373</v>
      </c>
      <c r="C53" s="15" t="inlineStr">
        <is>
          <t>PHY</t>
        </is>
      </c>
      <c r="D53" s="15" t="n">
        <v>40</v>
      </c>
    </row>
    <row r="54">
      <c r="B54" s="15" t="n">
        <v>211052374</v>
      </c>
      <c r="C54" s="15" t="inlineStr">
        <is>
          <t>INF</t>
        </is>
      </c>
      <c r="D54" s="15" t="n">
        <v>53</v>
      </c>
    </row>
    <row r="55">
      <c r="B55" s="15" t="n">
        <v>211052374</v>
      </c>
      <c r="C55" s="15" t="inlineStr">
        <is>
          <t>MAT</t>
        </is>
      </c>
      <c r="D55" s="15" t="n">
        <v>77</v>
      </c>
    </row>
    <row r="56">
      <c r="B56" s="15" t="n">
        <v>211052375</v>
      </c>
      <c r="C56" s="15" t="inlineStr">
        <is>
          <t>MAT</t>
        </is>
      </c>
      <c r="D56" s="15" t="n">
        <v>68</v>
      </c>
    </row>
    <row r="57">
      <c r="B57" s="15" t="n">
        <v>211052375</v>
      </c>
      <c r="C57" s="15" t="inlineStr">
        <is>
          <t>BWL</t>
        </is>
      </c>
      <c r="D57" s="15" t="n">
        <v>73</v>
      </c>
    </row>
    <row r="58">
      <c r="B58" s="15" t="n">
        <v>211052376</v>
      </c>
      <c r="C58" s="15" t="inlineStr">
        <is>
          <t>DBI</t>
        </is>
      </c>
      <c r="D58" s="15" t="n">
        <v>37</v>
      </c>
    </row>
    <row r="59">
      <c r="B59" s="15" t="n">
        <v>211052376</v>
      </c>
      <c r="C59" s="15" t="inlineStr">
        <is>
          <t>INF</t>
        </is>
      </c>
      <c r="D59" s="15" t="n">
        <v>43</v>
      </c>
    </row>
    <row r="60">
      <c r="B60" s="15" t="n">
        <v>211052377</v>
      </c>
      <c r="C60" s="15" t="inlineStr">
        <is>
          <t>MAT</t>
        </is>
      </c>
      <c r="D60" s="15" t="n">
        <v>94</v>
      </c>
    </row>
    <row r="61">
      <c r="B61" s="15" t="n">
        <v>211052377</v>
      </c>
      <c r="C61" s="15" t="inlineStr">
        <is>
          <t>DBI</t>
        </is>
      </c>
      <c r="D61" s="15" t="n">
        <v>44</v>
      </c>
    </row>
    <row r="62">
      <c r="B62" s="15" t="n">
        <v>211052378</v>
      </c>
      <c r="C62" s="15" t="inlineStr">
        <is>
          <t>MAT</t>
        </is>
      </c>
      <c r="D62" s="15" t="n">
        <v>92</v>
      </c>
    </row>
    <row r="63">
      <c r="B63" s="15" t="n">
        <v>211052378</v>
      </c>
      <c r="C63" s="15" t="inlineStr">
        <is>
          <t>DBI</t>
        </is>
      </c>
      <c r="D63" s="15" t="n">
        <v>50</v>
      </c>
    </row>
    <row r="64">
      <c r="B64" s="15" t="n">
        <v>211052379</v>
      </c>
      <c r="C64" s="15" t="inlineStr">
        <is>
          <t>MAT</t>
        </is>
      </c>
      <c r="D64" s="15" t="n">
        <v>49</v>
      </c>
    </row>
    <row r="65">
      <c r="B65" s="15" t="n">
        <v>211052379</v>
      </c>
      <c r="C65" s="15" t="inlineStr">
        <is>
          <t>INF</t>
        </is>
      </c>
      <c r="D65" s="15" t="n">
        <v>48</v>
      </c>
    </row>
    <row r="66">
      <c r="B66" s="15" t="n">
        <v>211052380</v>
      </c>
      <c r="C66" s="15" t="inlineStr">
        <is>
          <t>DBI</t>
        </is>
      </c>
      <c r="D66" s="15" t="n">
        <v>41</v>
      </c>
    </row>
    <row r="67">
      <c r="B67" s="15" t="n">
        <v>211052380</v>
      </c>
      <c r="C67" s="15" t="inlineStr">
        <is>
          <t>MAT</t>
        </is>
      </c>
      <c r="D67" s="15" t="n">
        <v>99</v>
      </c>
    </row>
    <row r="68">
      <c r="B68" s="15" t="n">
        <v>211052381</v>
      </c>
      <c r="C68" s="15" t="inlineStr">
        <is>
          <t>BWL</t>
        </is>
      </c>
      <c r="D68" s="15" t="n">
        <v>41</v>
      </c>
    </row>
    <row r="69">
      <c r="B69" s="15" t="n">
        <v>211052381</v>
      </c>
      <c r="C69" s="15" t="inlineStr">
        <is>
          <t>DBI</t>
        </is>
      </c>
      <c r="D69" s="15" t="n">
        <v>99</v>
      </c>
    </row>
    <row r="70">
      <c r="B70" s="15" t="n">
        <v>211052382</v>
      </c>
      <c r="C70" s="15" t="inlineStr">
        <is>
          <t>MAT</t>
        </is>
      </c>
      <c r="D70" s="15" t="n">
        <v>28</v>
      </c>
    </row>
    <row r="71">
      <c r="B71" s="15" t="n">
        <v>211052382</v>
      </c>
      <c r="C71" s="15" t="inlineStr">
        <is>
          <t>PHY</t>
        </is>
      </c>
      <c r="D71" s="15" t="n">
        <v>43</v>
      </c>
    </row>
    <row r="72">
      <c r="B72" s="15" t="n">
        <v>211052383</v>
      </c>
      <c r="C72" s="15" t="inlineStr">
        <is>
          <t>PHY</t>
        </is>
      </c>
      <c r="D72" s="15" t="n">
        <v>51</v>
      </c>
    </row>
    <row r="73">
      <c r="B73" s="15" t="n">
        <v>211052383</v>
      </c>
      <c r="C73" s="15" t="inlineStr">
        <is>
          <t>DBI</t>
        </is>
      </c>
      <c r="D73" s="15" t="n">
        <v>35</v>
      </c>
    </row>
    <row r="74">
      <c r="B74" s="15" t="n">
        <v>211052384</v>
      </c>
      <c r="C74" s="15" t="inlineStr">
        <is>
          <t>DBI</t>
        </is>
      </c>
      <c r="D74" s="15" t="n">
        <v>54</v>
      </c>
    </row>
    <row r="75">
      <c r="B75" s="15" t="n">
        <v>211052384</v>
      </c>
      <c r="C75" s="15" t="inlineStr">
        <is>
          <t>MAT</t>
        </is>
      </c>
      <c r="D75" s="15" t="n">
        <v>52</v>
      </c>
    </row>
    <row r="76">
      <c r="B76" s="15" t="n">
        <v>211052385</v>
      </c>
      <c r="C76" s="15" t="inlineStr">
        <is>
          <t>INF</t>
        </is>
      </c>
      <c r="D76" s="15" t="n">
        <v>88</v>
      </c>
    </row>
    <row r="77">
      <c r="B77" s="15" t="n">
        <v>211052385</v>
      </c>
      <c r="C77" s="15" t="inlineStr">
        <is>
          <t>MAT</t>
        </is>
      </c>
      <c r="D77" s="15" t="n">
        <v>68</v>
      </c>
    </row>
    <row r="78">
      <c r="B78" s="15" t="n">
        <v>211052386</v>
      </c>
      <c r="C78" s="15" t="inlineStr">
        <is>
          <t>PHY</t>
        </is>
      </c>
      <c r="D78" s="15" t="n">
        <v>84</v>
      </c>
    </row>
    <row r="79">
      <c r="B79" s="15" t="n">
        <v>211052386</v>
      </c>
      <c r="C79" s="15" t="inlineStr">
        <is>
          <t>INF</t>
        </is>
      </c>
      <c r="D79" s="15" t="n">
        <v>55</v>
      </c>
    </row>
    <row r="80">
      <c r="B80" s="15" t="n">
        <v>211052387</v>
      </c>
      <c r="C80" s="15" t="inlineStr">
        <is>
          <t>INF</t>
        </is>
      </c>
      <c r="D80" s="15" t="n">
        <v>81</v>
      </c>
    </row>
    <row r="81">
      <c r="B81" s="15" t="n">
        <v>211052387</v>
      </c>
      <c r="C81" s="15" t="inlineStr">
        <is>
          <t>BWL</t>
        </is>
      </c>
      <c r="D81" s="15" t="n">
        <v>45</v>
      </c>
    </row>
    <row r="82">
      <c r="B82" s="15" t="n">
        <v>211052388</v>
      </c>
      <c r="C82" s="15" t="inlineStr">
        <is>
          <t>MAT</t>
        </is>
      </c>
      <c r="D82" s="15" t="n">
        <v>67</v>
      </c>
    </row>
    <row r="83">
      <c r="B83" s="15" t="n">
        <v>211052388</v>
      </c>
      <c r="C83" s="15" t="inlineStr">
        <is>
          <t>BWL</t>
        </is>
      </c>
      <c r="D83" s="15" t="n">
        <v>78</v>
      </c>
    </row>
    <row r="84">
      <c r="B84" s="15" t="n">
        <v>211052389</v>
      </c>
      <c r="C84" s="15" t="inlineStr">
        <is>
          <t>MAT</t>
        </is>
      </c>
      <c r="D84" s="15" t="n">
        <v>73</v>
      </c>
    </row>
    <row r="85">
      <c r="B85" s="15" t="n">
        <v>211052389</v>
      </c>
      <c r="C85" s="15" t="inlineStr">
        <is>
          <t>BWL</t>
        </is>
      </c>
      <c r="D85" s="15" t="n">
        <v>86</v>
      </c>
    </row>
    <row r="86">
      <c r="B86" s="15" t="n">
        <v>211052390</v>
      </c>
      <c r="C86" s="15" t="inlineStr">
        <is>
          <t>DBI</t>
        </is>
      </c>
      <c r="D86" s="15" t="n">
        <v>70</v>
      </c>
    </row>
    <row r="87">
      <c r="B87" s="15" t="n">
        <v>211052390</v>
      </c>
      <c r="C87" s="15" t="inlineStr">
        <is>
          <t>BWL</t>
        </is>
      </c>
      <c r="D87" s="15" t="n">
        <v>28</v>
      </c>
    </row>
    <row r="88">
      <c r="B88" s="15" t="n">
        <v>211052391</v>
      </c>
      <c r="C88" s="15" t="inlineStr">
        <is>
          <t>MAT</t>
        </is>
      </c>
      <c r="D88" s="15" t="n">
        <v>32</v>
      </c>
    </row>
    <row r="89">
      <c r="B89" s="15" t="n">
        <v>211052391</v>
      </c>
      <c r="C89" s="15" t="inlineStr">
        <is>
          <t>INF</t>
        </is>
      </c>
      <c r="D89" s="15" t="n">
        <v>55</v>
      </c>
    </row>
    <row r="90">
      <c r="B90" s="15" t="n">
        <v>211052392</v>
      </c>
      <c r="C90" s="15" t="inlineStr">
        <is>
          <t>BWL</t>
        </is>
      </c>
      <c r="D90" s="15" t="n">
        <v>98</v>
      </c>
    </row>
    <row r="91">
      <c r="B91" s="15" t="n">
        <v>211052392</v>
      </c>
      <c r="C91" s="15" t="inlineStr">
        <is>
          <t>INF</t>
        </is>
      </c>
      <c r="D91" s="15" t="n">
        <v>91</v>
      </c>
    </row>
    <row r="92">
      <c r="B92" s="15" t="n">
        <v>211052393</v>
      </c>
      <c r="C92" s="15" t="inlineStr">
        <is>
          <t>BWL</t>
        </is>
      </c>
      <c r="D92" s="15" t="n">
        <v>83</v>
      </c>
    </row>
    <row r="93">
      <c r="B93" s="15" t="n">
        <v>211052393</v>
      </c>
      <c r="C93" s="15" t="inlineStr">
        <is>
          <t>DBI</t>
        </is>
      </c>
      <c r="D93" s="15" t="n">
        <v>70</v>
      </c>
    </row>
    <row r="94">
      <c r="B94" s="15" t="n">
        <v>211052394</v>
      </c>
      <c r="C94" s="15" t="inlineStr">
        <is>
          <t>DBI</t>
        </is>
      </c>
      <c r="D94" s="15" t="n">
        <v>98</v>
      </c>
    </row>
    <row r="95">
      <c r="B95" s="15" t="n">
        <v>211052394</v>
      </c>
      <c r="C95" s="15" t="inlineStr">
        <is>
          <t>PHY</t>
        </is>
      </c>
      <c r="D95" s="15" t="n">
        <v>60</v>
      </c>
    </row>
    <row r="96">
      <c r="B96" s="15" t="n">
        <v>211052395</v>
      </c>
      <c r="C96" s="15" t="inlineStr">
        <is>
          <t>MAT</t>
        </is>
      </c>
      <c r="D96" s="15" t="n">
        <v>41</v>
      </c>
    </row>
    <row r="97">
      <c r="B97" s="15" t="n">
        <v>211052395</v>
      </c>
      <c r="C97" s="15" t="inlineStr">
        <is>
          <t>BWL</t>
        </is>
      </c>
      <c r="D97" s="15" t="n">
        <v>83</v>
      </c>
    </row>
    <row r="98">
      <c r="B98" s="15" t="n">
        <v>211052396</v>
      </c>
      <c r="C98" s="15" t="inlineStr">
        <is>
          <t>DBI</t>
        </is>
      </c>
      <c r="D98" s="15" t="n">
        <v>50</v>
      </c>
    </row>
    <row r="99">
      <c r="B99" s="15" t="n">
        <v>211052396</v>
      </c>
      <c r="C99" s="15" t="inlineStr">
        <is>
          <t>MAT</t>
        </is>
      </c>
      <c r="D99" s="15" t="n">
        <v>31</v>
      </c>
    </row>
    <row r="100">
      <c r="B100" s="15" t="n">
        <v>211052397</v>
      </c>
      <c r="C100" s="15" t="inlineStr">
        <is>
          <t>PHY</t>
        </is>
      </c>
      <c r="D100" s="15" t="n">
        <v>60</v>
      </c>
    </row>
    <row r="101">
      <c r="B101" s="15" t="n">
        <v>211052397</v>
      </c>
      <c r="C101" s="15" t="inlineStr">
        <is>
          <t>BWL</t>
        </is>
      </c>
      <c r="D101" s="15" t="n">
        <v>91</v>
      </c>
    </row>
    <row r="102">
      <c r="B102" s="15" t="n">
        <v>211052398</v>
      </c>
      <c r="C102" s="15" t="inlineStr">
        <is>
          <t>MAT</t>
        </is>
      </c>
      <c r="D102" s="15" t="n">
        <v>87</v>
      </c>
    </row>
    <row r="103">
      <c r="B103" s="15" t="n">
        <v>211052398</v>
      </c>
      <c r="C103" s="15" t="inlineStr">
        <is>
          <t>PHY</t>
        </is>
      </c>
      <c r="D103" s="15" t="n">
        <v>83</v>
      </c>
    </row>
    <row r="104">
      <c r="B104" s="15" t="n">
        <v>211052399</v>
      </c>
      <c r="C104" s="15" t="inlineStr">
        <is>
          <t>INF</t>
        </is>
      </c>
      <c r="D104" s="15" t="n">
        <v>48</v>
      </c>
    </row>
    <row r="105">
      <c r="B105" s="15" t="n">
        <v>211052399</v>
      </c>
      <c r="C105" s="15" t="inlineStr">
        <is>
          <t>PHY</t>
        </is>
      </c>
      <c r="D105" s="15" t="n">
        <v>32</v>
      </c>
    </row>
    <row r="106">
      <c r="B106" s="15" t="n">
        <v>211052400</v>
      </c>
      <c r="C106" s="15" t="inlineStr">
        <is>
          <t>DBI</t>
        </is>
      </c>
      <c r="D106" s="15" t="n">
        <v>74</v>
      </c>
    </row>
    <row r="107">
      <c r="B107" s="15" t="n">
        <v>211052400</v>
      </c>
      <c r="C107" s="15" t="inlineStr">
        <is>
          <t>BWL</t>
        </is>
      </c>
      <c r="D107" s="15" t="n">
        <v>82</v>
      </c>
    </row>
    <row r="108">
      <c r="B108" s="15" t="n">
        <v>211052401</v>
      </c>
      <c r="C108" s="15" t="inlineStr">
        <is>
          <t>MAT</t>
        </is>
      </c>
      <c r="D108" s="15" t="n">
        <v>34</v>
      </c>
    </row>
    <row r="109">
      <c r="B109" s="15" t="n">
        <v>211052401</v>
      </c>
      <c r="C109" s="15" t="inlineStr">
        <is>
          <t>DBI</t>
        </is>
      </c>
      <c r="D109" s="15" t="n">
        <v>83</v>
      </c>
    </row>
    <row r="110">
      <c r="B110" s="15" t="n">
        <v>211052402</v>
      </c>
      <c r="C110" s="15" t="inlineStr">
        <is>
          <t>DBI</t>
        </is>
      </c>
      <c r="D110" s="15" t="n">
        <v>57</v>
      </c>
    </row>
    <row r="111">
      <c r="B111" s="15" t="n">
        <v>211052402</v>
      </c>
      <c r="C111" s="15" t="inlineStr">
        <is>
          <t>PHY</t>
        </is>
      </c>
      <c r="D111" s="15" t="n">
        <v>43</v>
      </c>
    </row>
    <row r="112">
      <c r="B112" s="15" t="n">
        <v>211052403</v>
      </c>
      <c r="C112" s="15" t="inlineStr">
        <is>
          <t>PHY</t>
        </is>
      </c>
      <c r="D112" s="15" t="n">
        <v>55</v>
      </c>
    </row>
    <row r="113">
      <c r="B113" s="15" t="n">
        <v>211052403</v>
      </c>
      <c r="C113" s="15" t="inlineStr">
        <is>
          <t>MAT</t>
        </is>
      </c>
      <c r="D113" s="15" t="n">
        <v>100</v>
      </c>
    </row>
    <row r="114">
      <c r="B114" s="15" t="n">
        <v>211052404</v>
      </c>
      <c r="C114" s="15" t="inlineStr">
        <is>
          <t>BWL</t>
        </is>
      </c>
      <c r="D114" s="15" t="n">
        <v>83</v>
      </c>
    </row>
    <row r="115">
      <c r="B115" s="15" t="n">
        <v>211052404</v>
      </c>
      <c r="C115" s="15" t="inlineStr">
        <is>
          <t>DBI</t>
        </is>
      </c>
      <c r="D115" s="15" t="n">
        <v>41</v>
      </c>
    </row>
    <row r="116">
      <c r="B116" s="15" t="n">
        <v>211052405</v>
      </c>
      <c r="C116" s="15" t="inlineStr">
        <is>
          <t>BWL</t>
        </is>
      </c>
      <c r="D116" s="15" t="n">
        <v>83</v>
      </c>
    </row>
    <row r="117">
      <c r="B117" s="15" t="n">
        <v>211052405</v>
      </c>
      <c r="C117" s="15" t="inlineStr">
        <is>
          <t>PHY</t>
        </is>
      </c>
      <c r="D117" s="15" t="n">
        <v>99</v>
      </c>
    </row>
    <row r="118">
      <c r="B118" s="15" t="n">
        <v>211052406</v>
      </c>
      <c r="C118" s="15" t="inlineStr">
        <is>
          <t>MAT</t>
        </is>
      </c>
      <c r="D118" s="15" t="n">
        <v>28</v>
      </c>
    </row>
    <row r="119">
      <c r="B119" s="15" t="n">
        <v>211052406</v>
      </c>
      <c r="C119" s="15" t="inlineStr">
        <is>
          <t>BWL</t>
        </is>
      </c>
      <c r="D119" s="15" t="n">
        <v>93</v>
      </c>
    </row>
    <row r="120">
      <c r="B120" s="15" t="n">
        <v>211052407</v>
      </c>
      <c r="C120" s="15" t="inlineStr">
        <is>
          <t>DBI</t>
        </is>
      </c>
      <c r="D120" s="15" t="n">
        <v>76</v>
      </c>
    </row>
    <row r="121">
      <c r="B121" s="15" t="n">
        <v>211052407</v>
      </c>
      <c r="C121" s="15" t="inlineStr">
        <is>
          <t>MAT</t>
        </is>
      </c>
      <c r="D121" s="15" t="n">
        <v>96</v>
      </c>
    </row>
    <row r="122">
      <c r="B122" s="15" t="n">
        <v>211052408</v>
      </c>
      <c r="C122" s="15" t="inlineStr">
        <is>
          <t>BWL</t>
        </is>
      </c>
      <c r="D122" s="15" t="n">
        <v>85</v>
      </c>
    </row>
    <row r="123">
      <c r="B123" s="15" t="n">
        <v>211052408</v>
      </c>
      <c r="C123" s="15" t="inlineStr">
        <is>
          <t>INF</t>
        </is>
      </c>
      <c r="D123" s="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B1:D8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8" customWidth="1" min="4" max="4"/>
  </cols>
  <sheetData>
    <row r="1">
      <c r="B1" s="1" t="inlineStr">
        <is>
          <t>Notenschlüssel  -  Rohdaten, bitte nicht verändern</t>
        </is>
      </c>
    </row>
    <row r="3">
      <c r="B3" s="11" t="inlineStr">
        <is>
          <t>ab Punkten</t>
        </is>
      </c>
      <c r="C3" s="11" t="inlineStr">
        <is>
          <t>Note</t>
        </is>
      </c>
      <c r="D3" s="11" t="inlineStr">
        <is>
          <t>Prädikat</t>
        </is>
      </c>
    </row>
    <row r="4">
      <c r="B4" s="15" t="n">
        <v>0</v>
      </c>
      <c r="C4" s="15" t="n">
        <v>5</v>
      </c>
      <c r="D4" s="15" t="inlineStr">
        <is>
          <t>nicht genügend</t>
        </is>
      </c>
    </row>
    <row r="5">
      <c r="B5" s="15" t="n">
        <v>51</v>
      </c>
      <c r="C5" s="15" t="n">
        <v>4</v>
      </c>
      <c r="D5" s="15" t="inlineStr">
        <is>
          <t>genügend</t>
        </is>
      </c>
    </row>
    <row r="6">
      <c r="B6" s="15" t="n">
        <v>63</v>
      </c>
      <c r="C6" s="15" t="n">
        <v>3</v>
      </c>
      <c r="D6" s="15" t="inlineStr">
        <is>
          <t>befriedigend</t>
        </is>
      </c>
    </row>
    <row r="7">
      <c r="B7" s="15" t="n">
        <v>76</v>
      </c>
      <c r="C7" s="15" t="n">
        <v>2</v>
      </c>
      <c r="D7" s="15" t="inlineStr">
        <is>
          <t>gut</t>
        </is>
      </c>
    </row>
    <row r="8">
      <c r="B8" s="15" t="n">
        <v>88</v>
      </c>
      <c r="C8" s="15" t="n">
        <v>1</v>
      </c>
      <c r="D8" s="15" t="inlineStr">
        <is>
          <t>sehr gut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1:D12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</cols>
  <sheetData>
    <row r="1">
      <c r="B1" s="1" t="inlineStr">
        <is>
          <t>Punkte2021  -  Rohdaten, bitte nicht verändern</t>
        </is>
      </c>
    </row>
    <row r="3">
      <c r="B3" s="11" t="inlineStr">
        <is>
          <t>Matrikelnummer</t>
        </is>
      </c>
      <c r="C3" s="11" t="inlineStr">
        <is>
          <t>LV</t>
        </is>
      </c>
      <c r="D3" s="11" t="inlineStr">
        <is>
          <t>Punkte</t>
        </is>
      </c>
    </row>
    <row r="4">
      <c r="B4" s="15" t="n">
        <v>211052349</v>
      </c>
      <c r="C4" s="15" t="inlineStr">
        <is>
          <t>MAT</t>
        </is>
      </c>
      <c r="D4" s="15" t="n">
        <v>60</v>
      </c>
    </row>
    <row r="5">
      <c r="B5" s="15" t="n">
        <v>211052349</v>
      </c>
      <c r="C5" s="15" t="inlineStr">
        <is>
          <t>PHY</t>
        </is>
      </c>
      <c r="D5" s="15" t="n">
        <v>70</v>
      </c>
    </row>
    <row r="6">
      <c r="B6" s="15" t="n">
        <v>211052350</v>
      </c>
      <c r="C6" s="15" t="inlineStr">
        <is>
          <t>INF</t>
        </is>
      </c>
      <c r="D6" s="15" t="n">
        <v>76</v>
      </c>
    </row>
    <row r="7">
      <c r="B7" s="15" t="n">
        <v>211052350</v>
      </c>
      <c r="C7" s="15" t="inlineStr">
        <is>
          <t>DBI</t>
        </is>
      </c>
      <c r="D7" s="15" t="n">
        <v>75</v>
      </c>
    </row>
    <row r="8">
      <c r="B8" s="15" t="n">
        <v>211052351</v>
      </c>
      <c r="C8" s="15" t="inlineStr">
        <is>
          <t>PHY</t>
        </is>
      </c>
      <c r="D8" s="15" t="n">
        <v>89</v>
      </c>
    </row>
    <row r="9">
      <c r="B9" s="15" t="n">
        <v>211052351</v>
      </c>
      <c r="C9" s="15" t="inlineStr">
        <is>
          <t>BWL</t>
        </is>
      </c>
      <c r="D9" s="15" t="n">
        <v>91</v>
      </c>
    </row>
    <row r="10">
      <c r="B10" s="15" t="n">
        <v>211052352</v>
      </c>
      <c r="C10" s="15" t="inlineStr">
        <is>
          <t>MAT</t>
        </is>
      </c>
      <c r="D10" s="15" t="n">
        <v>70</v>
      </c>
    </row>
    <row r="11">
      <c r="B11" s="15" t="n">
        <v>211052352</v>
      </c>
      <c r="C11" s="15" t="inlineStr">
        <is>
          <t>BWL</t>
        </is>
      </c>
      <c r="D11" s="15" t="n">
        <v>54</v>
      </c>
    </row>
    <row r="12">
      <c r="B12" s="15" t="n">
        <v>211052353</v>
      </c>
      <c r="C12" s="15" t="inlineStr">
        <is>
          <t>INF</t>
        </is>
      </c>
      <c r="D12" s="15" t="n">
        <v>98</v>
      </c>
    </row>
    <row r="13">
      <c r="B13" s="15" t="n">
        <v>211052353</v>
      </c>
      <c r="C13" s="15" t="inlineStr">
        <is>
          <t>BWL</t>
        </is>
      </c>
      <c r="D13" s="15" t="n">
        <v>64</v>
      </c>
    </row>
    <row r="14">
      <c r="B14" s="15" t="n">
        <v>211052354</v>
      </c>
      <c r="C14" s="15" t="inlineStr">
        <is>
          <t>PHY</t>
        </is>
      </c>
      <c r="D14" s="15" t="n">
        <v>84</v>
      </c>
    </row>
    <row r="15">
      <c r="B15" s="15" t="n">
        <v>211052354</v>
      </c>
      <c r="C15" s="15" t="inlineStr">
        <is>
          <t>MAT</t>
        </is>
      </c>
      <c r="D15" s="15" t="n">
        <v>94</v>
      </c>
    </row>
    <row r="16">
      <c r="B16" s="15" t="n">
        <v>211052355</v>
      </c>
      <c r="C16" s="15" t="inlineStr">
        <is>
          <t>DBI</t>
        </is>
      </c>
      <c r="D16" s="15" t="n">
        <v>73</v>
      </c>
    </row>
    <row r="17">
      <c r="B17" s="15" t="n">
        <v>211052355</v>
      </c>
      <c r="C17" s="15" t="inlineStr">
        <is>
          <t>PHY</t>
        </is>
      </c>
      <c r="D17" s="15" t="n">
        <v>51</v>
      </c>
    </row>
    <row r="18">
      <c r="B18" s="15" t="n">
        <v>211052356</v>
      </c>
      <c r="C18" s="15" t="inlineStr">
        <is>
          <t>PHY</t>
        </is>
      </c>
      <c r="D18" s="15" t="n">
        <v>91</v>
      </c>
    </row>
    <row r="19">
      <c r="B19" s="15" t="n">
        <v>211052356</v>
      </c>
      <c r="C19" s="15" t="inlineStr">
        <is>
          <t>INF</t>
        </is>
      </c>
      <c r="D19" s="15" t="n">
        <v>42</v>
      </c>
    </row>
    <row r="20">
      <c r="B20" s="15" t="n">
        <v>211052357</v>
      </c>
      <c r="C20" s="15" t="inlineStr">
        <is>
          <t>PHY</t>
        </is>
      </c>
      <c r="D20" s="15" t="n">
        <v>93</v>
      </c>
    </row>
    <row r="21">
      <c r="B21" s="15" t="n">
        <v>211052357</v>
      </c>
      <c r="C21" s="15" t="inlineStr">
        <is>
          <t>BWL</t>
        </is>
      </c>
      <c r="D21" s="15" t="n">
        <v>42</v>
      </c>
    </row>
    <row r="22">
      <c r="B22" s="15" t="n">
        <v>211052358</v>
      </c>
      <c r="C22" s="15" t="inlineStr">
        <is>
          <t>DBI</t>
        </is>
      </c>
      <c r="D22" s="15" t="n">
        <v>84</v>
      </c>
    </row>
    <row r="23">
      <c r="B23" s="15" t="n">
        <v>211052358</v>
      </c>
      <c r="C23" s="15" t="inlineStr">
        <is>
          <t>MAT</t>
        </is>
      </c>
      <c r="D23" s="15" t="n">
        <v>60</v>
      </c>
    </row>
    <row r="24">
      <c r="B24" s="15" t="n">
        <v>211052359</v>
      </c>
      <c r="C24" s="15" t="inlineStr">
        <is>
          <t>PHY</t>
        </is>
      </c>
      <c r="D24" s="15" t="n">
        <v>91</v>
      </c>
    </row>
    <row r="25">
      <c r="B25" s="15" t="n">
        <v>211052359</v>
      </c>
      <c r="C25" s="15" t="inlineStr">
        <is>
          <t>MAT</t>
        </is>
      </c>
      <c r="D25" s="15" t="n">
        <v>74</v>
      </c>
    </row>
    <row r="26">
      <c r="B26" s="15" t="n">
        <v>211052360</v>
      </c>
      <c r="C26" s="15" t="inlineStr">
        <is>
          <t>PHY</t>
        </is>
      </c>
      <c r="D26" s="15" t="n">
        <v>86</v>
      </c>
    </row>
    <row r="27">
      <c r="B27" s="15" t="n">
        <v>211052360</v>
      </c>
      <c r="C27" s="15" t="inlineStr">
        <is>
          <t>MAT</t>
        </is>
      </c>
      <c r="D27" s="15" t="n">
        <v>71</v>
      </c>
    </row>
    <row r="28">
      <c r="B28" s="15" t="n">
        <v>211052361</v>
      </c>
      <c r="C28" s="15" t="inlineStr">
        <is>
          <t>DBI</t>
        </is>
      </c>
      <c r="D28" s="15" t="n">
        <v>33</v>
      </c>
    </row>
    <row r="29">
      <c r="B29" s="15" t="n">
        <v>211052361</v>
      </c>
      <c r="C29" s="15" t="inlineStr">
        <is>
          <t>INF</t>
        </is>
      </c>
      <c r="D29" s="15" t="n">
        <v>42</v>
      </c>
    </row>
    <row r="30">
      <c r="B30" s="15" t="n">
        <v>211052362</v>
      </c>
      <c r="C30" s="15" t="inlineStr">
        <is>
          <t>DBI</t>
        </is>
      </c>
      <c r="D30" s="15" t="n">
        <v>66</v>
      </c>
    </row>
    <row r="31">
      <c r="B31" s="15" t="n">
        <v>211052362</v>
      </c>
      <c r="C31" s="15" t="inlineStr">
        <is>
          <t>INF</t>
        </is>
      </c>
      <c r="D31" s="15" t="n">
        <v>49</v>
      </c>
    </row>
    <row r="32">
      <c r="B32" s="15" t="n">
        <v>211052363</v>
      </c>
      <c r="C32" s="15" t="inlineStr">
        <is>
          <t>DBI</t>
        </is>
      </c>
      <c r="D32" s="15" t="n">
        <v>29</v>
      </c>
    </row>
    <row r="33">
      <c r="B33" s="15" t="n">
        <v>211052363</v>
      </c>
      <c r="C33" s="15" t="inlineStr">
        <is>
          <t>PHY</t>
        </is>
      </c>
      <c r="D33" s="15" t="n">
        <v>58</v>
      </c>
    </row>
    <row r="34">
      <c r="B34" s="15" t="n">
        <v>211052364</v>
      </c>
      <c r="C34" s="15" t="inlineStr">
        <is>
          <t>BWL</t>
        </is>
      </c>
      <c r="D34" s="15" t="n">
        <v>80</v>
      </c>
    </row>
    <row r="35">
      <c r="B35" s="15" t="n">
        <v>211052364</v>
      </c>
      <c r="C35" s="15" t="inlineStr">
        <is>
          <t>MAT</t>
        </is>
      </c>
      <c r="D35" s="15" t="n">
        <v>46</v>
      </c>
    </row>
    <row r="36">
      <c r="B36" s="15" t="n">
        <v>211052365</v>
      </c>
      <c r="C36" s="15" t="inlineStr">
        <is>
          <t>MAT</t>
        </is>
      </c>
      <c r="D36" s="15" t="n">
        <v>59</v>
      </c>
    </row>
    <row r="37">
      <c r="B37" s="15" t="n">
        <v>211052365</v>
      </c>
      <c r="C37" s="15" t="inlineStr">
        <is>
          <t>INF</t>
        </is>
      </c>
      <c r="D37" s="15" t="n">
        <v>33</v>
      </c>
    </row>
    <row r="38">
      <c r="B38" s="15" t="n">
        <v>211052366</v>
      </c>
      <c r="C38" s="15" t="inlineStr">
        <is>
          <t>INF</t>
        </is>
      </c>
      <c r="D38" s="15" t="n">
        <v>37</v>
      </c>
    </row>
    <row r="39">
      <c r="B39" s="15" t="n">
        <v>211052366</v>
      </c>
      <c r="C39" s="15" t="inlineStr">
        <is>
          <t>DBI</t>
        </is>
      </c>
      <c r="D39" s="15" t="n">
        <v>59</v>
      </c>
    </row>
    <row r="40">
      <c r="B40" s="15" t="n">
        <v>211052367</v>
      </c>
      <c r="C40" s="15" t="inlineStr">
        <is>
          <t>MAT</t>
        </is>
      </c>
      <c r="D40" s="15" t="n">
        <v>37</v>
      </c>
    </row>
    <row r="41">
      <c r="B41" s="15" t="n">
        <v>211052367</v>
      </c>
      <c r="C41" s="15" t="inlineStr">
        <is>
          <t>INF</t>
        </is>
      </c>
      <c r="D41" s="15" t="n">
        <v>53</v>
      </c>
    </row>
    <row r="42">
      <c r="B42" s="15" t="n">
        <v>211052368</v>
      </c>
      <c r="C42" s="15" t="inlineStr">
        <is>
          <t>BWL</t>
        </is>
      </c>
      <c r="D42" s="15" t="n">
        <v>46</v>
      </c>
    </row>
    <row r="43">
      <c r="B43" s="15" t="n">
        <v>211052368</v>
      </c>
      <c r="C43" s="15" t="inlineStr">
        <is>
          <t>MAT</t>
        </is>
      </c>
      <c r="D43" s="15" t="n">
        <v>62</v>
      </c>
    </row>
    <row r="44">
      <c r="B44" s="15" t="n">
        <v>211052369</v>
      </c>
      <c r="C44" s="15" t="inlineStr">
        <is>
          <t>MAT</t>
        </is>
      </c>
      <c r="D44" s="15" t="n">
        <v>38</v>
      </c>
    </row>
    <row r="45">
      <c r="B45" s="15" t="n">
        <v>211052369</v>
      </c>
      <c r="C45" s="15" t="inlineStr">
        <is>
          <t>INF</t>
        </is>
      </c>
      <c r="D45" s="15" t="n">
        <v>41</v>
      </c>
    </row>
    <row r="46">
      <c r="B46" s="15" t="n">
        <v>211052370</v>
      </c>
      <c r="C46" s="15" t="inlineStr">
        <is>
          <t>PHY</t>
        </is>
      </c>
      <c r="D46" s="15" t="n">
        <v>67</v>
      </c>
    </row>
    <row r="47">
      <c r="B47" s="15" t="n">
        <v>211052370</v>
      </c>
      <c r="C47" s="15" t="inlineStr">
        <is>
          <t>INF</t>
        </is>
      </c>
      <c r="D47" s="15" t="n">
        <v>67</v>
      </c>
    </row>
    <row r="48">
      <c r="B48" s="15" t="n">
        <v>211052371</v>
      </c>
      <c r="C48" s="15" t="inlineStr">
        <is>
          <t>BWL</t>
        </is>
      </c>
      <c r="D48" s="15" t="n">
        <v>27</v>
      </c>
    </row>
    <row r="49">
      <c r="B49" s="15" t="n">
        <v>211052371</v>
      </c>
      <c r="C49" s="15" t="inlineStr">
        <is>
          <t>MAT</t>
        </is>
      </c>
      <c r="D49" s="15" t="n">
        <v>60</v>
      </c>
    </row>
    <row r="50">
      <c r="B50" s="15" t="n">
        <v>211052372</v>
      </c>
      <c r="C50" s="15" t="inlineStr">
        <is>
          <t>INF</t>
        </is>
      </c>
      <c r="D50" s="15" t="n">
        <v>97</v>
      </c>
    </row>
    <row r="51">
      <c r="B51" s="15" t="n">
        <v>211052372</v>
      </c>
      <c r="C51" s="15" t="inlineStr">
        <is>
          <t>MAT</t>
        </is>
      </c>
      <c r="D51" s="15" t="n">
        <v>59</v>
      </c>
    </row>
    <row r="52">
      <c r="B52" s="15" t="n">
        <v>211052373</v>
      </c>
      <c r="C52" s="15" t="inlineStr">
        <is>
          <t>MAT</t>
        </is>
      </c>
      <c r="D52" s="15" t="n">
        <v>52</v>
      </c>
    </row>
    <row r="53">
      <c r="B53" s="15" t="n">
        <v>211052373</v>
      </c>
      <c r="C53" s="15" t="inlineStr">
        <is>
          <t>PHY</t>
        </is>
      </c>
      <c r="D53" s="15" t="n">
        <v>95</v>
      </c>
    </row>
    <row r="54">
      <c r="B54" s="15" t="n">
        <v>211052374</v>
      </c>
      <c r="C54" s="15" t="inlineStr">
        <is>
          <t>MAT</t>
        </is>
      </c>
      <c r="D54" s="15" t="n">
        <v>94</v>
      </c>
    </row>
    <row r="55">
      <c r="B55" s="15" t="n">
        <v>211052374</v>
      </c>
      <c r="C55" s="15" t="inlineStr">
        <is>
          <t>INF</t>
        </is>
      </c>
      <c r="D55" s="15" t="n">
        <v>49</v>
      </c>
    </row>
    <row r="56">
      <c r="B56" s="15" t="n">
        <v>211052375</v>
      </c>
      <c r="C56" s="15" t="inlineStr">
        <is>
          <t>MAT</t>
        </is>
      </c>
      <c r="D56" s="15" t="n">
        <v>54</v>
      </c>
    </row>
    <row r="57">
      <c r="B57" s="15" t="n">
        <v>211052375</v>
      </c>
      <c r="C57" s="15" t="inlineStr">
        <is>
          <t>BWL</t>
        </is>
      </c>
      <c r="D57" s="15" t="n">
        <v>57</v>
      </c>
    </row>
    <row r="58">
      <c r="B58" s="15" t="n">
        <v>211052376</v>
      </c>
      <c r="C58" s="15" t="inlineStr">
        <is>
          <t>DBI</t>
        </is>
      </c>
      <c r="D58" s="15" t="n">
        <v>79</v>
      </c>
    </row>
    <row r="59">
      <c r="B59" s="15" t="n">
        <v>211052376</v>
      </c>
      <c r="C59" s="15" t="inlineStr">
        <is>
          <t>BWL</t>
        </is>
      </c>
      <c r="D59" s="15" t="n">
        <v>92</v>
      </c>
    </row>
    <row r="60">
      <c r="B60" s="15" t="n">
        <v>211052377</v>
      </c>
      <c r="C60" s="15" t="inlineStr">
        <is>
          <t>INF</t>
        </is>
      </c>
      <c r="D60" s="15" t="n">
        <v>85</v>
      </c>
    </row>
    <row r="61">
      <c r="B61" s="15" t="n">
        <v>211052377</v>
      </c>
      <c r="C61" s="15" t="inlineStr">
        <is>
          <t>DBI</t>
        </is>
      </c>
      <c r="D61" s="15" t="n">
        <v>44</v>
      </c>
    </row>
    <row r="62">
      <c r="B62" s="15" t="n">
        <v>211052378</v>
      </c>
      <c r="C62" s="15" t="inlineStr">
        <is>
          <t>PHY</t>
        </is>
      </c>
      <c r="D62" s="15" t="n">
        <v>84</v>
      </c>
    </row>
    <row r="63">
      <c r="B63" s="15" t="n">
        <v>211052378</v>
      </c>
      <c r="C63" s="15" t="inlineStr">
        <is>
          <t>BWL</t>
        </is>
      </c>
      <c r="D63" s="15" t="n">
        <v>69</v>
      </c>
    </row>
    <row r="64">
      <c r="B64" s="15" t="n">
        <v>211052379</v>
      </c>
      <c r="C64" s="15" t="inlineStr">
        <is>
          <t>PHY</t>
        </is>
      </c>
      <c r="D64" s="15" t="n">
        <v>82</v>
      </c>
    </row>
    <row r="65">
      <c r="B65" s="15" t="n">
        <v>211052379</v>
      </c>
      <c r="C65" s="15" t="inlineStr">
        <is>
          <t>INF</t>
        </is>
      </c>
      <c r="D65" s="15" t="n">
        <v>95</v>
      </c>
    </row>
    <row r="66">
      <c r="B66" s="15" t="n">
        <v>211052380</v>
      </c>
      <c r="C66" s="15" t="inlineStr">
        <is>
          <t>DBI</t>
        </is>
      </c>
      <c r="D66" s="15" t="n">
        <v>48</v>
      </c>
    </row>
    <row r="67">
      <c r="B67" s="15" t="n">
        <v>211052380</v>
      </c>
      <c r="C67" s="15" t="inlineStr">
        <is>
          <t>PHY</t>
        </is>
      </c>
      <c r="D67" s="15" t="n">
        <v>74</v>
      </c>
    </row>
    <row r="68">
      <c r="B68" s="15" t="n">
        <v>211052381</v>
      </c>
      <c r="C68" s="15" t="inlineStr">
        <is>
          <t>INF</t>
        </is>
      </c>
      <c r="D68" s="15" t="n">
        <v>89</v>
      </c>
    </row>
    <row r="69">
      <c r="B69" s="15" t="n">
        <v>211052381</v>
      </c>
      <c r="C69" s="15" t="inlineStr">
        <is>
          <t>PHY</t>
        </is>
      </c>
      <c r="D69" s="15" t="n">
        <v>87</v>
      </c>
    </row>
    <row r="70">
      <c r="B70" s="15" t="n">
        <v>211052382</v>
      </c>
      <c r="C70" s="15" t="inlineStr">
        <is>
          <t>PHY</t>
        </is>
      </c>
      <c r="D70" s="15" t="n">
        <v>33</v>
      </c>
    </row>
    <row r="71">
      <c r="B71" s="15" t="n">
        <v>211052382</v>
      </c>
      <c r="C71" s="15" t="inlineStr">
        <is>
          <t>MAT</t>
        </is>
      </c>
      <c r="D71" s="15" t="n">
        <v>89</v>
      </c>
    </row>
    <row r="72">
      <c r="B72" s="15" t="n">
        <v>211052383</v>
      </c>
      <c r="C72" s="15" t="inlineStr">
        <is>
          <t>BWL</t>
        </is>
      </c>
      <c r="D72" s="15" t="n">
        <v>50</v>
      </c>
    </row>
    <row r="73">
      <c r="B73" s="15" t="n">
        <v>211052383</v>
      </c>
      <c r="C73" s="15" t="inlineStr">
        <is>
          <t>PHY</t>
        </is>
      </c>
      <c r="D73" s="15" t="n">
        <v>48</v>
      </c>
    </row>
    <row r="74">
      <c r="B74" s="15" t="n">
        <v>211052384</v>
      </c>
      <c r="C74" s="15" t="inlineStr">
        <is>
          <t>INF</t>
        </is>
      </c>
      <c r="D74" s="15" t="n">
        <v>66</v>
      </c>
    </row>
    <row r="75">
      <c r="B75" s="15" t="n">
        <v>211052384</v>
      </c>
      <c r="C75" s="15" t="inlineStr">
        <is>
          <t>BWL</t>
        </is>
      </c>
      <c r="D75" s="15" t="n">
        <v>25</v>
      </c>
    </row>
    <row r="76">
      <c r="B76" s="15" t="n">
        <v>211052385</v>
      </c>
      <c r="C76" s="15" t="inlineStr">
        <is>
          <t>MAT</t>
        </is>
      </c>
      <c r="D76" s="15" t="n">
        <v>79</v>
      </c>
    </row>
    <row r="77">
      <c r="B77" s="15" t="n">
        <v>211052385</v>
      </c>
      <c r="C77" s="15" t="inlineStr">
        <is>
          <t>DBI</t>
        </is>
      </c>
      <c r="D77" s="15" t="n">
        <v>31</v>
      </c>
    </row>
    <row r="78">
      <c r="B78" s="15" t="n">
        <v>211052386</v>
      </c>
      <c r="C78" s="15" t="inlineStr">
        <is>
          <t>PHY</t>
        </is>
      </c>
      <c r="D78" s="15" t="n">
        <v>35</v>
      </c>
    </row>
    <row r="79">
      <c r="B79" s="15" t="n">
        <v>211052386</v>
      </c>
      <c r="C79" s="15" t="inlineStr">
        <is>
          <t>DBI</t>
        </is>
      </c>
      <c r="D79" s="15" t="n">
        <v>86</v>
      </c>
    </row>
    <row r="80">
      <c r="B80" s="15" t="n">
        <v>211052387</v>
      </c>
      <c r="C80" s="15" t="inlineStr">
        <is>
          <t>INF</t>
        </is>
      </c>
      <c r="D80" s="15" t="n">
        <v>92</v>
      </c>
    </row>
    <row r="81">
      <c r="B81" s="15" t="n">
        <v>211052387</v>
      </c>
      <c r="C81" s="15" t="inlineStr">
        <is>
          <t>MAT</t>
        </is>
      </c>
      <c r="D81" s="15" t="n">
        <v>89</v>
      </c>
    </row>
    <row r="82">
      <c r="B82" s="15" t="n">
        <v>211052388</v>
      </c>
      <c r="C82" s="15" t="inlineStr">
        <is>
          <t>MAT</t>
        </is>
      </c>
      <c r="D82" s="15" t="n">
        <v>90</v>
      </c>
    </row>
    <row r="83">
      <c r="B83" s="15" t="n">
        <v>211052388</v>
      </c>
      <c r="C83" s="15" t="inlineStr">
        <is>
          <t>PHY</t>
        </is>
      </c>
      <c r="D83" s="15" t="n">
        <v>63</v>
      </c>
    </row>
    <row r="84">
      <c r="B84" s="15" t="n">
        <v>211052389</v>
      </c>
      <c r="C84" s="15" t="inlineStr">
        <is>
          <t>INF</t>
        </is>
      </c>
      <c r="D84" s="15" t="n">
        <v>32</v>
      </c>
    </row>
    <row r="85">
      <c r="B85" s="15" t="n">
        <v>211052389</v>
      </c>
      <c r="C85" s="15" t="inlineStr">
        <is>
          <t>PHY</t>
        </is>
      </c>
      <c r="D85" s="15" t="n">
        <v>52</v>
      </c>
    </row>
    <row r="86">
      <c r="B86" s="15" t="n">
        <v>211052390</v>
      </c>
      <c r="C86" s="15" t="inlineStr">
        <is>
          <t>BWL</t>
        </is>
      </c>
      <c r="D86" s="15" t="n">
        <v>56</v>
      </c>
    </row>
    <row r="87">
      <c r="B87" s="15" t="n">
        <v>211052390</v>
      </c>
      <c r="C87" s="15" t="inlineStr">
        <is>
          <t>INF</t>
        </is>
      </c>
      <c r="D87" s="15" t="n">
        <v>64</v>
      </c>
    </row>
    <row r="88">
      <c r="B88" s="15" t="n">
        <v>211052391</v>
      </c>
      <c r="C88" s="15" t="inlineStr">
        <is>
          <t>PHY</t>
        </is>
      </c>
      <c r="D88" s="15" t="n">
        <v>67</v>
      </c>
    </row>
    <row r="89">
      <c r="B89" s="15" t="n">
        <v>211052391</v>
      </c>
      <c r="C89" s="15" t="inlineStr">
        <is>
          <t>BWL</t>
        </is>
      </c>
      <c r="D89" s="15" t="n">
        <v>30</v>
      </c>
    </row>
    <row r="90">
      <c r="B90" s="15" t="n">
        <v>211052392</v>
      </c>
      <c r="C90" s="15" t="inlineStr">
        <is>
          <t>MAT</t>
        </is>
      </c>
      <c r="D90" s="15" t="n">
        <v>69</v>
      </c>
    </row>
    <row r="91">
      <c r="B91" s="15" t="n">
        <v>211052392</v>
      </c>
      <c r="C91" s="15" t="inlineStr">
        <is>
          <t>PHY</t>
        </is>
      </c>
      <c r="D91" s="15" t="n">
        <v>69</v>
      </c>
    </row>
    <row r="92">
      <c r="B92" s="15" t="n">
        <v>211052393</v>
      </c>
      <c r="C92" s="15" t="inlineStr">
        <is>
          <t>MAT</t>
        </is>
      </c>
      <c r="D92" s="15" t="n">
        <v>69</v>
      </c>
    </row>
    <row r="93">
      <c r="B93" s="15" t="n">
        <v>211052393</v>
      </c>
      <c r="C93" s="15" t="inlineStr">
        <is>
          <t>DBI</t>
        </is>
      </c>
      <c r="D93" s="15" t="n">
        <v>26</v>
      </c>
    </row>
    <row r="94">
      <c r="B94" s="15" t="n">
        <v>211052394</v>
      </c>
      <c r="C94" s="15" t="inlineStr">
        <is>
          <t>BWL</t>
        </is>
      </c>
      <c r="D94" s="15" t="n">
        <v>65</v>
      </c>
    </row>
    <row r="95">
      <c r="B95" s="15" t="n">
        <v>211052394</v>
      </c>
      <c r="C95" s="15" t="inlineStr">
        <is>
          <t>PHY</t>
        </is>
      </c>
      <c r="D95" s="15" t="n">
        <v>50</v>
      </c>
    </row>
    <row r="96">
      <c r="B96" s="15" t="n">
        <v>211052395</v>
      </c>
      <c r="C96" s="15" t="inlineStr">
        <is>
          <t>MAT</t>
        </is>
      </c>
      <c r="D96" s="15" t="n">
        <v>83</v>
      </c>
    </row>
    <row r="97">
      <c r="B97" s="15" t="n">
        <v>211052395</v>
      </c>
      <c r="C97" s="15" t="inlineStr">
        <is>
          <t>PHY</t>
        </is>
      </c>
      <c r="D97" s="15" t="n">
        <v>92</v>
      </c>
    </row>
    <row r="98">
      <c r="B98" s="15" t="n">
        <v>211052396</v>
      </c>
      <c r="C98" s="15" t="inlineStr">
        <is>
          <t>DBI</t>
        </is>
      </c>
      <c r="D98" s="15" t="n">
        <v>37</v>
      </c>
    </row>
    <row r="99">
      <c r="B99" s="15" t="n">
        <v>211052396</v>
      </c>
      <c r="C99" s="15" t="inlineStr">
        <is>
          <t>MAT</t>
        </is>
      </c>
      <c r="D99" s="15" t="n">
        <v>86</v>
      </c>
    </row>
    <row r="100">
      <c r="B100" s="15" t="n">
        <v>211052397</v>
      </c>
      <c r="C100" s="15" t="inlineStr">
        <is>
          <t>PHY</t>
        </is>
      </c>
      <c r="D100" s="15" t="n">
        <v>31</v>
      </c>
    </row>
    <row r="101">
      <c r="B101" s="15" t="n">
        <v>211052397</v>
      </c>
      <c r="C101" s="15" t="inlineStr">
        <is>
          <t>INF</t>
        </is>
      </c>
      <c r="D101" s="15" t="n">
        <v>77</v>
      </c>
    </row>
    <row r="102">
      <c r="B102" s="15" t="n">
        <v>211052398</v>
      </c>
      <c r="C102" s="15" t="inlineStr">
        <is>
          <t>MAT</t>
        </is>
      </c>
      <c r="D102" s="15" t="n">
        <v>42</v>
      </c>
    </row>
    <row r="103">
      <c r="B103" s="15" t="n">
        <v>211052398</v>
      </c>
      <c r="C103" s="15" t="inlineStr">
        <is>
          <t>BWL</t>
        </is>
      </c>
      <c r="D103" s="15" t="n">
        <v>71</v>
      </c>
    </row>
    <row r="104">
      <c r="B104" s="15" t="n">
        <v>211052399</v>
      </c>
      <c r="C104" s="15" t="inlineStr">
        <is>
          <t>DBI</t>
        </is>
      </c>
      <c r="D104" s="15" t="n">
        <v>71</v>
      </c>
    </row>
    <row r="105">
      <c r="B105" s="15" t="n">
        <v>211052399</v>
      </c>
      <c r="C105" s="15" t="inlineStr">
        <is>
          <t>INF</t>
        </is>
      </c>
      <c r="D105" s="15" t="n">
        <v>78</v>
      </c>
    </row>
    <row r="106">
      <c r="B106" s="15" t="n">
        <v>211052400</v>
      </c>
      <c r="C106" s="15" t="inlineStr">
        <is>
          <t>MAT</t>
        </is>
      </c>
      <c r="D106" s="15" t="n">
        <v>68</v>
      </c>
    </row>
    <row r="107">
      <c r="B107" s="15" t="n">
        <v>211052400</v>
      </c>
      <c r="C107" s="15" t="inlineStr">
        <is>
          <t>DBI</t>
        </is>
      </c>
      <c r="D107" s="15" t="n">
        <v>82</v>
      </c>
    </row>
    <row r="108">
      <c r="B108" s="15" t="n">
        <v>211052401</v>
      </c>
      <c r="C108" s="15" t="inlineStr">
        <is>
          <t>PHY</t>
        </is>
      </c>
      <c r="D108" s="15" t="n">
        <v>91</v>
      </c>
    </row>
    <row r="109">
      <c r="B109" s="15" t="n">
        <v>211052401</v>
      </c>
      <c r="C109" s="15" t="inlineStr">
        <is>
          <t>DBI</t>
        </is>
      </c>
      <c r="D109" s="15" t="n">
        <v>77</v>
      </c>
    </row>
    <row r="110">
      <c r="B110" s="15" t="n">
        <v>211052402</v>
      </c>
      <c r="C110" s="15" t="inlineStr">
        <is>
          <t>INF</t>
        </is>
      </c>
      <c r="D110" s="15" t="n">
        <v>41</v>
      </c>
    </row>
    <row r="111">
      <c r="B111" s="15" t="n">
        <v>211052402</v>
      </c>
      <c r="C111" s="15" t="inlineStr">
        <is>
          <t>MAT</t>
        </is>
      </c>
      <c r="D111" s="15" t="n">
        <v>39</v>
      </c>
    </row>
    <row r="112">
      <c r="B112" s="15" t="n">
        <v>211052403</v>
      </c>
      <c r="C112" s="15" t="inlineStr">
        <is>
          <t>BWL</t>
        </is>
      </c>
      <c r="D112" s="15" t="n">
        <v>88</v>
      </c>
    </row>
    <row r="113">
      <c r="B113" s="15" t="n">
        <v>211052403</v>
      </c>
      <c r="C113" s="15" t="inlineStr">
        <is>
          <t>INF</t>
        </is>
      </c>
      <c r="D113" s="15" t="n">
        <v>75</v>
      </c>
    </row>
    <row r="114">
      <c r="B114" s="15" t="n">
        <v>211052404</v>
      </c>
      <c r="C114" s="15" t="inlineStr">
        <is>
          <t>INF</t>
        </is>
      </c>
      <c r="D114" s="15" t="n">
        <v>53</v>
      </c>
    </row>
    <row r="115">
      <c r="B115" s="15" t="n">
        <v>211052404</v>
      </c>
      <c r="C115" s="15" t="inlineStr">
        <is>
          <t>BWL</t>
        </is>
      </c>
      <c r="D115" s="15" t="n">
        <v>30</v>
      </c>
    </row>
    <row r="116">
      <c r="B116" s="15" t="n">
        <v>211052405</v>
      </c>
      <c r="C116" s="15" t="inlineStr">
        <is>
          <t>INF</t>
        </is>
      </c>
      <c r="D116" s="15" t="n">
        <v>59</v>
      </c>
    </row>
    <row r="117">
      <c r="B117" s="15" t="n">
        <v>211052405</v>
      </c>
      <c r="C117" s="15" t="inlineStr">
        <is>
          <t>DBI</t>
        </is>
      </c>
      <c r="D117" s="15" t="n">
        <v>39</v>
      </c>
    </row>
    <row r="118">
      <c r="B118" s="15" t="n">
        <v>211052406</v>
      </c>
      <c r="C118" s="15" t="inlineStr">
        <is>
          <t>PHY</t>
        </is>
      </c>
      <c r="D118" s="15" t="n">
        <v>33</v>
      </c>
    </row>
    <row r="119">
      <c r="B119" s="15" t="n">
        <v>211052406</v>
      </c>
      <c r="C119" s="15" t="inlineStr">
        <is>
          <t>BWL</t>
        </is>
      </c>
      <c r="D119" s="15" t="n">
        <v>66</v>
      </c>
    </row>
    <row r="120">
      <c r="B120" s="15" t="n">
        <v>211052407</v>
      </c>
      <c r="C120" s="15" t="inlineStr">
        <is>
          <t>INF</t>
        </is>
      </c>
      <c r="D120" s="15" t="n">
        <v>60</v>
      </c>
    </row>
    <row r="121">
      <c r="B121" s="15" t="n">
        <v>211052407</v>
      </c>
      <c r="C121" s="15" t="inlineStr">
        <is>
          <t>BWL</t>
        </is>
      </c>
      <c r="D121" s="15" t="n">
        <v>77</v>
      </c>
    </row>
    <row r="122">
      <c r="B122" s="15" t="n">
        <v>211052408</v>
      </c>
      <c r="C122" s="15" t="inlineStr">
        <is>
          <t>INF</t>
        </is>
      </c>
      <c r="D122" s="15" t="n">
        <v>39</v>
      </c>
    </row>
    <row r="123">
      <c r="B123" s="15" t="n">
        <v>211052408</v>
      </c>
      <c r="C123" s="15" t="inlineStr">
        <is>
          <t>PHY</t>
        </is>
      </c>
      <c r="D123" s="15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B1:D12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</cols>
  <sheetData>
    <row r="1">
      <c r="B1" s="1" t="inlineStr">
        <is>
          <t>Punkte2022  -  Rohdaten, bitte nicht verändern</t>
        </is>
      </c>
    </row>
    <row r="3">
      <c r="B3" s="11" t="inlineStr">
        <is>
          <t>Matrikelnummer</t>
        </is>
      </c>
      <c r="C3" s="11" t="inlineStr">
        <is>
          <t>LV</t>
        </is>
      </c>
      <c r="D3" s="11" t="inlineStr">
        <is>
          <t>Punkte</t>
        </is>
      </c>
    </row>
    <row r="4">
      <c r="B4" s="15" t="n">
        <v>211052349</v>
      </c>
      <c r="C4" s="15" t="inlineStr">
        <is>
          <t>INF</t>
        </is>
      </c>
      <c r="D4" s="15" t="n">
        <v>66</v>
      </c>
    </row>
    <row r="5">
      <c r="B5" s="15" t="n">
        <v>211052349</v>
      </c>
      <c r="C5" s="15" t="inlineStr">
        <is>
          <t>MAT</t>
        </is>
      </c>
      <c r="D5" s="15" t="n">
        <v>53</v>
      </c>
    </row>
    <row r="6">
      <c r="B6" s="15" t="n">
        <v>211052350</v>
      </c>
      <c r="C6" s="15" t="inlineStr">
        <is>
          <t>INF</t>
        </is>
      </c>
      <c r="D6" s="15" t="n">
        <v>96</v>
      </c>
    </row>
    <row r="7">
      <c r="B7" s="15" t="n">
        <v>211052350</v>
      </c>
      <c r="C7" s="15" t="inlineStr">
        <is>
          <t>PHY</t>
        </is>
      </c>
      <c r="D7" s="15" t="n">
        <v>59</v>
      </c>
    </row>
    <row r="8">
      <c r="B8" s="15" t="n">
        <v>211052351</v>
      </c>
      <c r="C8" s="15" t="inlineStr">
        <is>
          <t>INF</t>
        </is>
      </c>
      <c r="D8" s="15" t="n">
        <v>81</v>
      </c>
    </row>
    <row r="9">
      <c r="B9" s="15" t="n">
        <v>211052351</v>
      </c>
      <c r="C9" s="15" t="inlineStr">
        <is>
          <t>PHY</t>
        </is>
      </c>
      <c r="D9" s="15" t="n">
        <v>95</v>
      </c>
    </row>
    <row r="10">
      <c r="B10" s="15" t="n">
        <v>211052352</v>
      </c>
      <c r="C10" s="15" t="inlineStr">
        <is>
          <t>BWL</t>
        </is>
      </c>
      <c r="D10" s="15" t="n">
        <v>67</v>
      </c>
    </row>
    <row r="11">
      <c r="B11" s="15" t="n">
        <v>211052352</v>
      </c>
      <c r="C11" s="15" t="inlineStr">
        <is>
          <t>MAT</t>
        </is>
      </c>
      <c r="D11" s="15" t="n">
        <v>97</v>
      </c>
    </row>
    <row r="12">
      <c r="B12" s="15" t="n">
        <v>211052353</v>
      </c>
      <c r="C12" s="15" t="inlineStr">
        <is>
          <t>PHY</t>
        </is>
      </c>
      <c r="D12" s="15" t="n">
        <v>54</v>
      </c>
    </row>
    <row r="13">
      <c r="B13" s="15" t="n">
        <v>211052353</v>
      </c>
      <c r="C13" s="15" t="inlineStr">
        <is>
          <t>DBI</t>
        </is>
      </c>
      <c r="D13" s="15" t="n">
        <v>87</v>
      </c>
    </row>
    <row r="14">
      <c r="B14" s="15" t="n">
        <v>211052354</v>
      </c>
      <c r="C14" s="15" t="inlineStr">
        <is>
          <t>MAT</t>
        </is>
      </c>
      <c r="D14" s="15" t="n">
        <v>80</v>
      </c>
    </row>
    <row r="15">
      <c r="B15" s="15" t="n">
        <v>211052354</v>
      </c>
      <c r="C15" s="15" t="inlineStr">
        <is>
          <t>BWL</t>
        </is>
      </c>
      <c r="D15" s="15" t="n">
        <v>35</v>
      </c>
    </row>
    <row r="16">
      <c r="B16" s="15" t="n">
        <v>211052355</v>
      </c>
      <c r="C16" s="15" t="inlineStr">
        <is>
          <t>PHY</t>
        </is>
      </c>
      <c r="D16" s="15" t="n">
        <v>87</v>
      </c>
    </row>
    <row r="17">
      <c r="B17" s="15" t="n">
        <v>211052355</v>
      </c>
      <c r="C17" s="15" t="inlineStr">
        <is>
          <t>INF</t>
        </is>
      </c>
      <c r="D17" s="15" t="n">
        <v>43</v>
      </c>
    </row>
    <row r="18">
      <c r="B18" s="15" t="n">
        <v>211052356</v>
      </c>
      <c r="C18" s="15" t="inlineStr">
        <is>
          <t>MAT</t>
        </is>
      </c>
      <c r="D18" s="15" t="n">
        <v>77</v>
      </c>
    </row>
    <row r="19">
      <c r="B19" s="15" t="n">
        <v>211052356</v>
      </c>
      <c r="C19" s="15" t="inlineStr">
        <is>
          <t>PHY</t>
        </is>
      </c>
      <c r="D19" s="15" t="n">
        <v>70</v>
      </c>
    </row>
    <row r="20">
      <c r="B20" s="15" t="n">
        <v>211052357</v>
      </c>
      <c r="C20" s="15" t="inlineStr">
        <is>
          <t>PHY</t>
        </is>
      </c>
      <c r="D20" s="15" t="n">
        <v>69</v>
      </c>
    </row>
    <row r="21">
      <c r="B21" s="15" t="n">
        <v>211052357</v>
      </c>
      <c r="C21" s="15" t="inlineStr">
        <is>
          <t>MAT</t>
        </is>
      </c>
      <c r="D21" s="15" t="n">
        <v>82</v>
      </c>
    </row>
    <row r="22">
      <c r="B22" s="15" t="n">
        <v>211052358</v>
      </c>
      <c r="C22" s="15" t="inlineStr">
        <is>
          <t>INF</t>
        </is>
      </c>
      <c r="D22" s="15" t="n">
        <v>100</v>
      </c>
    </row>
    <row r="23">
      <c r="B23" s="15" t="n">
        <v>211052358</v>
      </c>
      <c r="C23" s="15" t="inlineStr">
        <is>
          <t>PHY</t>
        </is>
      </c>
      <c r="D23" s="15" t="n">
        <v>55</v>
      </c>
    </row>
    <row r="24">
      <c r="B24" s="15" t="n">
        <v>211052359</v>
      </c>
      <c r="C24" s="15" t="inlineStr">
        <is>
          <t>INF</t>
        </is>
      </c>
      <c r="D24" s="15" t="n">
        <v>54</v>
      </c>
    </row>
    <row r="25">
      <c r="B25" s="15" t="n">
        <v>211052359</v>
      </c>
      <c r="C25" s="15" t="inlineStr">
        <is>
          <t>MAT</t>
        </is>
      </c>
      <c r="D25" s="15" t="n">
        <v>33</v>
      </c>
    </row>
    <row r="26">
      <c r="B26" s="15" t="n">
        <v>211052360</v>
      </c>
      <c r="C26" s="15" t="inlineStr">
        <is>
          <t>MAT</t>
        </is>
      </c>
      <c r="D26" s="15" t="n">
        <v>61</v>
      </c>
    </row>
    <row r="27">
      <c r="B27" s="15" t="n">
        <v>211052360</v>
      </c>
      <c r="C27" s="15" t="inlineStr">
        <is>
          <t>DBI</t>
        </is>
      </c>
      <c r="D27" s="15" t="n">
        <v>92</v>
      </c>
    </row>
    <row r="28">
      <c r="B28" s="15" t="n">
        <v>211052361</v>
      </c>
      <c r="C28" s="15" t="inlineStr">
        <is>
          <t>PHY</t>
        </is>
      </c>
      <c r="D28" s="15" t="n">
        <v>42</v>
      </c>
    </row>
    <row r="29">
      <c r="B29" s="15" t="n">
        <v>211052361</v>
      </c>
      <c r="C29" s="15" t="inlineStr">
        <is>
          <t>INF</t>
        </is>
      </c>
      <c r="D29" s="15" t="n">
        <v>70</v>
      </c>
    </row>
    <row r="30">
      <c r="B30" s="15" t="n">
        <v>211052362</v>
      </c>
      <c r="C30" s="15" t="inlineStr">
        <is>
          <t>BWL</t>
        </is>
      </c>
      <c r="D30" s="15" t="n">
        <v>58</v>
      </c>
    </row>
    <row r="31">
      <c r="B31" s="15" t="n">
        <v>211052362</v>
      </c>
      <c r="C31" s="15" t="inlineStr">
        <is>
          <t>MAT</t>
        </is>
      </c>
      <c r="D31" s="15" t="n">
        <v>87</v>
      </c>
    </row>
    <row r="32">
      <c r="B32" s="15" t="n">
        <v>211052363</v>
      </c>
      <c r="C32" s="15" t="inlineStr">
        <is>
          <t>PHY</t>
        </is>
      </c>
      <c r="D32" s="15" t="n">
        <v>53</v>
      </c>
    </row>
    <row r="33">
      <c r="B33" s="15" t="n">
        <v>211052363</v>
      </c>
      <c r="C33" s="15" t="inlineStr">
        <is>
          <t>MAT</t>
        </is>
      </c>
      <c r="D33" s="15" t="n">
        <v>75</v>
      </c>
    </row>
    <row r="34">
      <c r="B34" s="15" t="n">
        <v>211052364</v>
      </c>
      <c r="C34" s="15" t="inlineStr">
        <is>
          <t>INF</t>
        </is>
      </c>
      <c r="D34" s="15" t="n">
        <v>61</v>
      </c>
    </row>
    <row r="35">
      <c r="B35" s="15" t="n">
        <v>211052364</v>
      </c>
      <c r="C35" s="15" t="inlineStr">
        <is>
          <t>MAT</t>
        </is>
      </c>
      <c r="D35" s="15" t="n">
        <v>77</v>
      </c>
    </row>
    <row r="36">
      <c r="B36" s="15" t="n">
        <v>211052365</v>
      </c>
      <c r="C36" s="15" t="inlineStr">
        <is>
          <t>BWL</t>
        </is>
      </c>
      <c r="D36" s="15" t="n">
        <v>70</v>
      </c>
    </row>
    <row r="37">
      <c r="B37" s="15" t="n">
        <v>211052365</v>
      </c>
      <c r="C37" s="15" t="inlineStr">
        <is>
          <t>PHY</t>
        </is>
      </c>
      <c r="D37" s="15" t="n">
        <v>87</v>
      </c>
    </row>
    <row r="38">
      <c r="B38" s="15" t="n">
        <v>211052366</v>
      </c>
      <c r="C38" s="15" t="inlineStr">
        <is>
          <t>MAT</t>
        </is>
      </c>
      <c r="D38" s="15" t="n">
        <v>70</v>
      </c>
    </row>
    <row r="39">
      <c r="B39" s="15" t="n">
        <v>211052366</v>
      </c>
      <c r="C39" s="15" t="inlineStr">
        <is>
          <t>BWL</t>
        </is>
      </c>
      <c r="D39" s="15" t="n">
        <v>54</v>
      </c>
    </row>
    <row r="40">
      <c r="B40" s="15" t="n">
        <v>211052367</v>
      </c>
      <c r="C40" s="15" t="inlineStr">
        <is>
          <t>BWL</t>
        </is>
      </c>
      <c r="D40" s="15" t="n">
        <v>40</v>
      </c>
    </row>
    <row r="41">
      <c r="B41" s="15" t="n">
        <v>211052367</v>
      </c>
      <c r="C41" s="15" t="inlineStr">
        <is>
          <t>DBI</t>
        </is>
      </c>
      <c r="D41" s="15" t="n">
        <v>50</v>
      </c>
    </row>
    <row r="42">
      <c r="B42" s="15" t="n">
        <v>211052368</v>
      </c>
      <c r="C42" s="15" t="inlineStr">
        <is>
          <t>DBI</t>
        </is>
      </c>
      <c r="D42" s="15" t="n">
        <v>84</v>
      </c>
    </row>
    <row r="43">
      <c r="B43" s="15" t="n">
        <v>211052368</v>
      </c>
      <c r="C43" s="15" t="inlineStr">
        <is>
          <t>MAT</t>
        </is>
      </c>
      <c r="D43" s="15" t="n">
        <v>58</v>
      </c>
    </row>
    <row r="44">
      <c r="B44" s="15" t="n">
        <v>211052369</v>
      </c>
      <c r="C44" s="15" t="inlineStr">
        <is>
          <t>PHY</t>
        </is>
      </c>
      <c r="D44" s="15" t="n">
        <v>38</v>
      </c>
    </row>
    <row r="45">
      <c r="B45" s="15" t="n">
        <v>211052369</v>
      </c>
      <c r="C45" s="15" t="inlineStr">
        <is>
          <t>MAT</t>
        </is>
      </c>
      <c r="D45" s="15" t="n">
        <v>53</v>
      </c>
    </row>
    <row r="46">
      <c r="B46" s="15" t="n">
        <v>211052370</v>
      </c>
      <c r="C46" s="15" t="inlineStr">
        <is>
          <t>PHY</t>
        </is>
      </c>
      <c r="D46" s="15" t="n">
        <v>87</v>
      </c>
    </row>
    <row r="47">
      <c r="B47" s="15" t="n">
        <v>211052370</v>
      </c>
      <c r="C47" s="15" t="inlineStr">
        <is>
          <t>MAT</t>
        </is>
      </c>
      <c r="D47" s="15" t="n">
        <v>61</v>
      </c>
    </row>
    <row r="48">
      <c r="B48" s="15" t="n">
        <v>211052371</v>
      </c>
      <c r="C48" s="15" t="inlineStr">
        <is>
          <t>INF</t>
        </is>
      </c>
      <c r="D48" s="15" t="n">
        <v>81</v>
      </c>
    </row>
    <row r="49">
      <c r="B49" s="15" t="n">
        <v>211052371</v>
      </c>
      <c r="C49" s="15" t="inlineStr">
        <is>
          <t>BWL</t>
        </is>
      </c>
      <c r="D49" s="15" t="n">
        <v>53</v>
      </c>
    </row>
    <row r="50">
      <c r="B50" s="15" t="n">
        <v>211052372</v>
      </c>
      <c r="C50" s="15" t="inlineStr">
        <is>
          <t>DBI</t>
        </is>
      </c>
      <c r="D50" s="15" t="n">
        <v>66</v>
      </c>
    </row>
    <row r="51">
      <c r="B51" s="15" t="n">
        <v>211052372</v>
      </c>
      <c r="C51" s="15" t="inlineStr">
        <is>
          <t>PHY</t>
        </is>
      </c>
      <c r="D51" s="15" t="n">
        <v>63</v>
      </c>
    </row>
    <row r="52">
      <c r="B52" s="15" t="n">
        <v>211052373</v>
      </c>
      <c r="C52" s="15" t="inlineStr">
        <is>
          <t>MAT</t>
        </is>
      </c>
      <c r="D52" s="15" t="n">
        <v>95</v>
      </c>
    </row>
    <row r="53">
      <c r="B53" s="15" t="n">
        <v>211052373</v>
      </c>
      <c r="C53" s="15" t="inlineStr">
        <is>
          <t>PHY</t>
        </is>
      </c>
      <c r="D53" s="15" t="n">
        <v>40</v>
      </c>
    </row>
    <row r="54">
      <c r="B54" s="15" t="n">
        <v>211052374</v>
      </c>
      <c r="C54" s="15" t="inlineStr">
        <is>
          <t>INF</t>
        </is>
      </c>
      <c r="D54" s="15" t="n">
        <v>53</v>
      </c>
    </row>
    <row r="55">
      <c r="B55" s="15" t="n">
        <v>211052374</v>
      </c>
      <c r="C55" s="15" t="inlineStr">
        <is>
          <t>MAT</t>
        </is>
      </c>
      <c r="D55" s="15" t="n">
        <v>77</v>
      </c>
    </row>
    <row r="56">
      <c r="B56" s="15" t="n">
        <v>211052375</v>
      </c>
      <c r="C56" s="15" t="inlineStr">
        <is>
          <t>MAT</t>
        </is>
      </c>
      <c r="D56" s="15" t="n">
        <v>68</v>
      </c>
    </row>
    <row r="57">
      <c r="B57" s="15" t="n">
        <v>211052375</v>
      </c>
      <c r="C57" s="15" t="inlineStr">
        <is>
          <t>BWL</t>
        </is>
      </c>
      <c r="D57" s="15" t="n">
        <v>73</v>
      </c>
    </row>
    <row r="58">
      <c r="B58" s="15" t="n">
        <v>211052376</v>
      </c>
      <c r="C58" s="15" t="inlineStr">
        <is>
          <t>DBI</t>
        </is>
      </c>
      <c r="D58" s="15" t="n">
        <v>37</v>
      </c>
    </row>
    <row r="59">
      <c r="B59" s="15" t="n">
        <v>211052376</v>
      </c>
      <c r="C59" s="15" t="inlineStr">
        <is>
          <t>INF</t>
        </is>
      </c>
      <c r="D59" s="15" t="n">
        <v>43</v>
      </c>
    </row>
    <row r="60">
      <c r="B60" s="15" t="n">
        <v>211052377</v>
      </c>
      <c r="C60" s="15" t="inlineStr">
        <is>
          <t>MAT</t>
        </is>
      </c>
      <c r="D60" s="15" t="n">
        <v>94</v>
      </c>
    </row>
    <row r="61">
      <c r="B61" s="15" t="n">
        <v>211052377</v>
      </c>
      <c r="C61" s="15" t="inlineStr">
        <is>
          <t>DBI</t>
        </is>
      </c>
      <c r="D61" s="15" t="n">
        <v>44</v>
      </c>
    </row>
    <row r="62">
      <c r="B62" s="15" t="n">
        <v>211052378</v>
      </c>
      <c r="C62" s="15" t="inlineStr">
        <is>
          <t>MAT</t>
        </is>
      </c>
      <c r="D62" s="15" t="n">
        <v>92</v>
      </c>
    </row>
    <row r="63">
      <c r="B63" s="15" t="n">
        <v>211052378</v>
      </c>
      <c r="C63" s="15" t="inlineStr">
        <is>
          <t>DBI</t>
        </is>
      </c>
      <c r="D63" s="15" t="n">
        <v>50</v>
      </c>
    </row>
    <row r="64">
      <c r="B64" s="15" t="n">
        <v>211052379</v>
      </c>
      <c r="C64" s="15" t="inlineStr">
        <is>
          <t>MAT</t>
        </is>
      </c>
      <c r="D64" s="15" t="n">
        <v>49</v>
      </c>
    </row>
    <row r="65">
      <c r="B65" s="15" t="n">
        <v>211052379</v>
      </c>
      <c r="C65" s="15" t="inlineStr">
        <is>
          <t>INF</t>
        </is>
      </c>
      <c r="D65" s="15" t="n">
        <v>48</v>
      </c>
    </row>
    <row r="66">
      <c r="B66" s="15" t="n">
        <v>211052380</v>
      </c>
      <c r="C66" s="15" t="inlineStr">
        <is>
          <t>DBI</t>
        </is>
      </c>
      <c r="D66" s="15" t="n">
        <v>41</v>
      </c>
    </row>
    <row r="67">
      <c r="B67" s="15" t="n">
        <v>211052380</v>
      </c>
      <c r="C67" s="15" t="inlineStr">
        <is>
          <t>MAT</t>
        </is>
      </c>
      <c r="D67" s="15" t="n">
        <v>99</v>
      </c>
    </row>
    <row r="68">
      <c r="B68" s="15" t="n">
        <v>211052381</v>
      </c>
      <c r="C68" s="15" t="inlineStr">
        <is>
          <t>BWL</t>
        </is>
      </c>
      <c r="D68" s="15" t="n">
        <v>41</v>
      </c>
    </row>
    <row r="69">
      <c r="B69" s="15" t="n">
        <v>211052381</v>
      </c>
      <c r="C69" s="15" t="inlineStr">
        <is>
          <t>DBI</t>
        </is>
      </c>
      <c r="D69" s="15" t="n">
        <v>99</v>
      </c>
    </row>
    <row r="70">
      <c r="B70" s="15" t="n">
        <v>211052382</v>
      </c>
      <c r="C70" s="15" t="inlineStr">
        <is>
          <t>MAT</t>
        </is>
      </c>
      <c r="D70" s="15" t="n">
        <v>28</v>
      </c>
    </row>
    <row r="71">
      <c r="B71" s="15" t="n">
        <v>211052382</v>
      </c>
      <c r="C71" s="15" t="inlineStr">
        <is>
          <t>PHY</t>
        </is>
      </c>
      <c r="D71" s="15" t="n">
        <v>43</v>
      </c>
    </row>
    <row r="72">
      <c r="B72" s="15" t="n">
        <v>211052383</v>
      </c>
      <c r="C72" s="15" t="inlineStr">
        <is>
          <t>PHY</t>
        </is>
      </c>
      <c r="D72" s="15" t="n">
        <v>51</v>
      </c>
    </row>
    <row r="73">
      <c r="B73" s="15" t="n">
        <v>211052383</v>
      </c>
      <c r="C73" s="15" t="inlineStr">
        <is>
          <t>DBI</t>
        </is>
      </c>
      <c r="D73" s="15" t="n">
        <v>35</v>
      </c>
    </row>
    <row r="74">
      <c r="B74" s="15" t="n">
        <v>211052384</v>
      </c>
      <c r="C74" s="15" t="inlineStr">
        <is>
          <t>DBI</t>
        </is>
      </c>
      <c r="D74" s="15" t="n">
        <v>54</v>
      </c>
    </row>
    <row r="75">
      <c r="B75" s="15" t="n">
        <v>211052384</v>
      </c>
      <c r="C75" s="15" t="inlineStr">
        <is>
          <t>MAT</t>
        </is>
      </c>
      <c r="D75" s="15" t="n">
        <v>52</v>
      </c>
    </row>
    <row r="76">
      <c r="B76" s="15" t="n">
        <v>211052385</v>
      </c>
      <c r="C76" s="15" t="inlineStr">
        <is>
          <t>INF</t>
        </is>
      </c>
      <c r="D76" s="15" t="n">
        <v>88</v>
      </c>
    </row>
    <row r="77">
      <c r="B77" s="15" t="n">
        <v>211052385</v>
      </c>
      <c r="C77" s="15" t="inlineStr">
        <is>
          <t>MAT</t>
        </is>
      </c>
      <c r="D77" s="15" t="n">
        <v>68</v>
      </c>
    </row>
    <row r="78">
      <c r="B78" s="15" t="n">
        <v>211052386</v>
      </c>
      <c r="C78" s="15" t="inlineStr">
        <is>
          <t>PHY</t>
        </is>
      </c>
      <c r="D78" s="15" t="n">
        <v>84</v>
      </c>
    </row>
    <row r="79">
      <c r="B79" s="15" t="n">
        <v>211052386</v>
      </c>
      <c r="C79" s="15" t="inlineStr">
        <is>
          <t>INF</t>
        </is>
      </c>
      <c r="D79" s="15" t="n">
        <v>55</v>
      </c>
    </row>
    <row r="80">
      <c r="B80" s="15" t="n">
        <v>211052387</v>
      </c>
      <c r="C80" s="15" t="inlineStr">
        <is>
          <t>INF</t>
        </is>
      </c>
      <c r="D80" s="15" t="n">
        <v>81</v>
      </c>
    </row>
    <row r="81">
      <c r="B81" s="15" t="n">
        <v>211052387</v>
      </c>
      <c r="C81" s="15" t="inlineStr">
        <is>
          <t>BWL</t>
        </is>
      </c>
      <c r="D81" s="15" t="n">
        <v>45</v>
      </c>
    </row>
    <row r="82">
      <c r="B82" s="15" t="n">
        <v>211052388</v>
      </c>
      <c r="C82" s="15" t="inlineStr">
        <is>
          <t>MAT</t>
        </is>
      </c>
      <c r="D82" s="15" t="n">
        <v>67</v>
      </c>
    </row>
    <row r="83">
      <c r="B83" s="15" t="n">
        <v>211052388</v>
      </c>
      <c r="C83" s="15" t="inlineStr">
        <is>
          <t>BWL</t>
        </is>
      </c>
      <c r="D83" s="15" t="n">
        <v>78</v>
      </c>
    </row>
    <row r="84">
      <c r="B84" s="15" t="n">
        <v>211052389</v>
      </c>
      <c r="C84" s="15" t="inlineStr">
        <is>
          <t>MAT</t>
        </is>
      </c>
      <c r="D84" s="15" t="n">
        <v>73</v>
      </c>
    </row>
    <row r="85">
      <c r="B85" s="15" t="n">
        <v>211052389</v>
      </c>
      <c r="C85" s="15" t="inlineStr">
        <is>
          <t>BWL</t>
        </is>
      </c>
      <c r="D85" s="15" t="n">
        <v>86</v>
      </c>
    </row>
    <row r="86">
      <c r="B86" s="15" t="n">
        <v>211052390</v>
      </c>
      <c r="C86" s="15" t="inlineStr">
        <is>
          <t>DBI</t>
        </is>
      </c>
      <c r="D86" s="15" t="n">
        <v>70</v>
      </c>
    </row>
    <row r="87">
      <c r="B87" s="15" t="n">
        <v>211052390</v>
      </c>
      <c r="C87" s="15" t="inlineStr">
        <is>
          <t>BWL</t>
        </is>
      </c>
      <c r="D87" s="15" t="n">
        <v>28</v>
      </c>
    </row>
    <row r="88">
      <c r="B88" s="15" t="n">
        <v>211052391</v>
      </c>
      <c r="C88" s="15" t="inlineStr">
        <is>
          <t>MAT</t>
        </is>
      </c>
      <c r="D88" s="15" t="n">
        <v>32</v>
      </c>
    </row>
    <row r="89">
      <c r="B89" s="15" t="n">
        <v>211052391</v>
      </c>
      <c r="C89" s="15" t="inlineStr">
        <is>
          <t>INF</t>
        </is>
      </c>
      <c r="D89" s="15" t="n">
        <v>55</v>
      </c>
    </row>
    <row r="90">
      <c r="B90" s="15" t="n">
        <v>211052392</v>
      </c>
      <c r="C90" s="15" t="inlineStr">
        <is>
          <t>BWL</t>
        </is>
      </c>
      <c r="D90" s="15" t="n">
        <v>98</v>
      </c>
    </row>
    <row r="91">
      <c r="B91" s="15" t="n">
        <v>211052392</v>
      </c>
      <c r="C91" s="15" t="inlineStr">
        <is>
          <t>INF</t>
        </is>
      </c>
      <c r="D91" s="15" t="n">
        <v>91</v>
      </c>
    </row>
    <row r="92">
      <c r="B92" s="15" t="n">
        <v>211052393</v>
      </c>
      <c r="C92" s="15" t="inlineStr">
        <is>
          <t>BWL</t>
        </is>
      </c>
      <c r="D92" s="15" t="n">
        <v>83</v>
      </c>
    </row>
    <row r="93">
      <c r="B93" s="15" t="n">
        <v>211052393</v>
      </c>
      <c r="C93" s="15" t="inlineStr">
        <is>
          <t>DBI</t>
        </is>
      </c>
      <c r="D93" s="15" t="n">
        <v>70</v>
      </c>
    </row>
    <row r="94">
      <c r="B94" s="15" t="n">
        <v>211052394</v>
      </c>
      <c r="C94" s="15" t="inlineStr">
        <is>
          <t>DBI</t>
        </is>
      </c>
      <c r="D94" s="15" t="n">
        <v>98</v>
      </c>
    </row>
    <row r="95">
      <c r="B95" s="15" t="n">
        <v>211052394</v>
      </c>
      <c r="C95" s="15" t="inlineStr">
        <is>
          <t>PHY</t>
        </is>
      </c>
      <c r="D95" s="15" t="n">
        <v>60</v>
      </c>
    </row>
    <row r="96">
      <c r="B96" s="15" t="n">
        <v>211052395</v>
      </c>
      <c r="C96" s="15" t="inlineStr">
        <is>
          <t>MAT</t>
        </is>
      </c>
      <c r="D96" s="15" t="n">
        <v>41</v>
      </c>
    </row>
    <row r="97">
      <c r="B97" s="15" t="n">
        <v>211052395</v>
      </c>
      <c r="C97" s="15" t="inlineStr">
        <is>
          <t>BWL</t>
        </is>
      </c>
      <c r="D97" s="15" t="n">
        <v>83</v>
      </c>
    </row>
    <row r="98">
      <c r="B98" s="15" t="n">
        <v>211052396</v>
      </c>
      <c r="C98" s="15" t="inlineStr">
        <is>
          <t>DBI</t>
        </is>
      </c>
      <c r="D98" s="15" t="n">
        <v>50</v>
      </c>
    </row>
    <row r="99">
      <c r="B99" s="15" t="n">
        <v>211052396</v>
      </c>
      <c r="C99" s="15" t="inlineStr">
        <is>
          <t>MAT</t>
        </is>
      </c>
      <c r="D99" s="15" t="n">
        <v>31</v>
      </c>
    </row>
    <row r="100">
      <c r="B100" s="15" t="n">
        <v>211052397</v>
      </c>
      <c r="C100" s="15" t="inlineStr">
        <is>
          <t>PHY</t>
        </is>
      </c>
      <c r="D100" s="15" t="n">
        <v>60</v>
      </c>
    </row>
    <row r="101">
      <c r="B101" s="15" t="n">
        <v>211052397</v>
      </c>
      <c r="C101" s="15" t="inlineStr">
        <is>
          <t>BWL</t>
        </is>
      </c>
      <c r="D101" s="15" t="n">
        <v>91</v>
      </c>
    </row>
    <row r="102">
      <c r="B102" s="15" t="n">
        <v>211052398</v>
      </c>
      <c r="C102" s="15" t="inlineStr">
        <is>
          <t>MAT</t>
        </is>
      </c>
      <c r="D102" s="15" t="n">
        <v>87</v>
      </c>
    </row>
    <row r="103">
      <c r="B103" s="15" t="n">
        <v>211052398</v>
      </c>
      <c r="C103" s="15" t="inlineStr">
        <is>
          <t>PHY</t>
        </is>
      </c>
      <c r="D103" s="15" t="n">
        <v>83</v>
      </c>
    </row>
    <row r="104">
      <c r="B104" s="15" t="n">
        <v>211052399</v>
      </c>
      <c r="C104" s="15" t="inlineStr">
        <is>
          <t>INF</t>
        </is>
      </c>
      <c r="D104" s="15" t="n">
        <v>48</v>
      </c>
    </row>
    <row r="105">
      <c r="B105" s="15" t="n">
        <v>211052399</v>
      </c>
      <c r="C105" s="15" t="inlineStr">
        <is>
          <t>PHY</t>
        </is>
      </c>
      <c r="D105" s="15" t="n">
        <v>32</v>
      </c>
    </row>
    <row r="106">
      <c r="B106" s="15" t="n">
        <v>211052400</v>
      </c>
      <c r="C106" s="15" t="inlineStr">
        <is>
          <t>DBI</t>
        </is>
      </c>
      <c r="D106" s="15" t="n">
        <v>74</v>
      </c>
    </row>
    <row r="107">
      <c r="B107" s="15" t="n">
        <v>211052400</v>
      </c>
      <c r="C107" s="15" t="inlineStr">
        <is>
          <t>BWL</t>
        </is>
      </c>
      <c r="D107" s="15" t="n">
        <v>82</v>
      </c>
    </row>
    <row r="108">
      <c r="B108" s="15" t="n">
        <v>211052401</v>
      </c>
      <c r="C108" s="15" t="inlineStr">
        <is>
          <t>MAT</t>
        </is>
      </c>
      <c r="D108" s="15" t="n">
        <v>34</v>
      </c>
    </row>
    <row r="109">
      <c r="B109" s="15" t="n">
        <v>211052401</v>
      </c>
      <c r="C109" s="15" t="inlineStr">
        <is>
          <t>DBI</t>
        </is>
      </c>
      <c r="D109" s="15" t="n">
        <v>83</v>
      </c>
    </row>
    <row r="110">
      <c r="B110" s="15" t="n">
        <v>211052402</v>
      </c>
      <c r="C110" s="15" t="inlineStr">
        <is>
          <t>DBI</t>
        </is>
      </c>
      <c r="D110" s="15" t="n">
        <v>57</v>
      </c>
    </row>
    <row r="111">
      <c r="B111" s="15" t="n">
        <v>211052402</v>
      </c>
      <c r="C111" s="15" t="inlineStr">
        <is>
          <t>PHY</t>
        </is>
      </c>
      <c r="D111" s="15" t="n">
        <v>43</v>
      </c>
    </row>
    <row r="112">
      <c r="B112" s="15" t="n">
        <v>211052403</v>
      </c>
      <c r="C112" s="15" t="inlineStr">
        <is>
          <t>PHY</t>
        </is>
      </c>
      <c r="D112" s="15" t="n">
        <v>55</v>
      </c>
    </row>
    <row r="113">
      <c r="B113" s="15" t="n">
        <v>211052403</v>
      </c>
      <c r="C113" s="15" t="inlineStr">
        <is>
          <t>MAT</t>
        </is>
      </c>
      <c r="D113" s="15" t="n">
        <v>100</v>
      </c>
    </row>
    <row r="114">
      <c r="B114" s="15" t="n">
        <v>211052404</v>
      </c>
      <c r="C114" s="15" t="inlineStr">
        <is>
          <t>BWL</t>
        </is>
      </c>
      <c r="D114" s="15" t="n">
        <v>83</v>
      </c>
    </row>
    <row r="115">
      <c r="B115" s="15" t="n">
        <v>211052404</v>
      </c>
      <c r="C115" s="15" t="inlineStr">
        <is>
          <t>DBI</t>
        </is>
      </c>
      <c r="D115" s="15" t="n">
        <v>41</v>
      </c>
    </row>
    <row r="116">
      <c r="B116" s="15" t="n">
        <v>211052405</v>
      </c>
      <c r="C116" s="15" t="inlineStr">
        <is>
          <t>BWL</t>
        </is>
      </c>
      <c r="D116" s="15" t="n">
        <v>83</v>
      </c>
    </row>
    <row r="117">
      <c r="B117" s="15" t="n">
        <v>211052405</v>
      </c>
      <c r="C117" s="15" t="inlineStr">
        <is>
          <t>PHY</t>
        </is>
      </c>
      <c r="D117" s="15" t="n">
        <v>99</v>
      </c>
    </row>
    <row r="118">
      <c r="B118" s="15" t="n">
        <v>211052406</v>
      </c>
      <c r="C118" s="15" t="inlineStr">
        <is>
          <t>MAT</t>
        </is>
      </c>
      <c r="D118" s="15" t="n">
        <v>28</v>
      </c>
    </row>
    <row r="119">
      <c r="B119" s="15" t="n">
        <v>211052406</v>
      </c>
      <c r="C119" s="15" t="inlineStr">
        <is>
          <t>BWL</t>
        </is>
      </c>
      <c r="D119" s="15" t="n">
        <v>93</v>
      </c>
    </row>
    <row r="120">
      <c r="B120" s="15" t="n">
        <v>211052407</v>
      </c>
      <c r="C120" s="15" t="inlineStr">
        <is>
          <t>DBI</t>
        </is>
      </c>
      <c r="D120" s="15" t="n">
        <v>76</v>
      </c>
    </row>
    <row r="121">
      <c r="B121" s="15" t="n">
        <v>211052407</v>
      </c>
      <c r="C121" s="15" t="inlineStr">
        <is>
          <t>MAT</t>
        </is>
      </c>
      <c r="D121" s="15" t="n">
        <v>96</v>
      </c>
    </row>
    <row r="122">
      <c r="B122" s="15" t="n">
        <v>211052408</v>
      </c>
      <c r="C122" s="15" t="inlineStr">
        <is>
          <t>BWL</t>
        </is>
      </c>
      <c r="D122" s="15" t="n">
        <v>85</v>
      </c>
    </row>
    <row r="123">
      <c r="B123" s="15" t="n">
        <v>211052408</v>
      </c>
      <c r="C123" s="15" t="inlineStr">
        <is>
          <t>INF</t>
        </is>
      </c>
      <c r="D123" s="15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B1:E1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6" customWidth="1" min="4" max="4"/>
    <col width="52" customWidth="1" min="5" max="5"/>
  </cols>
  <sheetData>
    <row r="1" ht="22" customHeight="1">
      <c r="B1" s="1" t="inlineStr">
        <is>
          <t>Basis</t>
        </is>
      </c>
    </row>
    <row r="2">
      <c r="B2" s="16" t="inlineStr">
        <is>
          <t>Kapitel: SUMME / ANZAHL / MITTELWERT</t>
        </is>
      </c>
    </row>
    <row r="4" ht="28" customHeight="1">
      <c r="B4" s="14" t="inlineStr">
        <is>
          <t>Die Stammdaten stehen auf dem Blatt "Studenten" (Zeilen 4 bis 63), die Prüfungsergebnisse auf dem Blatt "Noten" (Zeilen 4 bis 123).</t>
        </is>
      </c>
    </row>
    <row r="6">
      <c r="B6" s="11" t="inlineStr">
        <is>
          <t>Gesuchte Kennzahl</t>
        </is>
      </c>
      <c r="C6" s="11" t="inlineStr">
        <is>
          <t>dein Ergebnis</t>
        </is>
      </c>
      <c r="D6" s="11" t="inlineStr">
        <is>
          <t>Kontrolle</t>
        </is>
      </c>
      <c r="E6" s="11" t="inlineStr">
        <is>
          <t>zu verwendende Funktion</t>
        </is>
      </c>
    </row>
    <row r="7" ht="14" customHeight="1">
      <c r="B7" s="13" t="inlineStr">
        <is>
          <t>Summe aller eingegangenen Studiengebühren in Euro</t>
        </is>
      </c>
      <c r="C7" s="17" t="n"/>
      <c r="D7" s="18">
        <f>IF(C7="","Kontrolle",IF(AND(_xlfn.ISFORMULA(C7),ABS(C7-27014)&lt;0.5),"OK - richtig",IF(ABS(C7-27014)&lt;0.5,"Ergebnis stimmt - bitte als Formel eingeben!","noch nicht richtig")))</f>
        <v/>
      </c>
      <c r="E7" s="16" t="inlineStr">
        <is>
          <t>SUMME</t>
        </is>
      </c>
    </row>
    <row r="8" ht="14" customHeight="1">
      <c r="B8" s="13" t="inlineStr">
        <is>
          <t>Anzahl der Studierenden (über die Matrikelnummern)</t>
        </is>
      </c>
      <c r="C8" s="17" t="n"/>
      <c r="D8" s="18">
        <f>IF(C8="","Kontrolle",IF(AND(_xlfn.ISFORMULA(C8),ABS(C8-60)&lt;0.5),"OK - richtig",IF(ABS(C8-60)&lt;0.5,"Ergebnis stimmt - bitte als Formel eingeben!","noch nicht richtig")))</f>
        <v/>
      </c>
      <c r="E8" s="16" t="inlineStr">
        <is>
          <t>ANZAHL</t>
        </is>
      </c>
    </row>
    <row r="9" ht="14" customHeight="1">
      <c r="B9" s="13" t="inlineStr">
        <is>
          <t>Anzahl der nicht leeren Zellen in der Spalte Nachname</t>
        </is>
      </c>
      <c r="C9" s="17" t="n"/>
      <c r="D9" s="18">
        <f>IF(C9="","Kontrolle",IF(AND(_xlfn.ISFORMULA(C9),ABS(C9-60)&lt;0.5),"OK - richtig",IF(ABS(C9-60)&lt;0.5,"Ergebnis stimmt - bitte als Formel eingeben!","noch nicht richtig")))</f>
        <v/>
      </c>
      <c r="E9" s="16" t="inlineStr">
        <is>
          <t>ANZAHL2</t>
        </is>
      </c>
    </row>
    <row r="10" ht="28" customHeight="1">
      <c r="B10" s="13" t="inlineStr">
        <is>
          <t>Anzahl der Studierenden, die ihre Gebühren NICHT bezahlt haben</t>
        </is>
      </c>
      <c r="C10" s="17" t="n"/>
      <c r="D10" s="18">
        <f>IF(C10="","Kontrolle",IF(AND(_xlfn.ISFORMULA(C10),ABS(C10-4)&lt;0.5),"OK - richtig",IF(ABS(C10-4)&lt;0.5,"Ergebnis stimmt - bitte als Formel eingeben!","noch nicht richtig")))</f>
        <v/>
      </c>
      <c r="E10" s="16" t="inlineStr">
        <is>
          <t>ANZAHLLEERZELLEN</t>
        </is>
      </c>
    </row>
    <row r="11" ht="14" customHeight="1">
      <c r="B11" s="13" t="inlineStr">
        <is>
          <t>Durchschnittliche Punktezahl über alle Prüfungen</t>
        </is>
      </c>
      <c r="C11" s="19" t="n"/>
      <c r="D11" s="18">
        <f>IF(C11="","Kontrolle",IF(AND(_xlfn.ISFORMULA(C11),ABS(C11-65.958333)&lt;0.005),"OK - richtig",IF(ABS(C11-65.958333)&lt;0.005,"Ergebnis stimmt - bitte als Formel eingeben!","noch nicht richtig")))</f>
        <v/>
      </c>
      <c r="E11" s="16" t="inlineStr">
        <is>
          <t>MITTELWERT</t>
        </is>
      </c>
    </row>
    <row r="12" ht="14" customHeight="1">
      <c r="B12" s="13" t="inlineStr">
        <is>
          <t>Anzahl der abgelegten Prüfungen</t>
        </is>
      </c>
      <c r="C12" s="17" t="n"/>
      <c r="D12" s="18">
        <f>IF(C12="","Kontrolle",IF(AND(_xlfn.ISFORMULA(C12),ABS(C12-120)&lt;0.5),"OK - richtig",IF(ABS(C12-120)&lt;0.5,"Ergebnis stimmt - bitte als Formel eingeben!","noch nicht richtig")))</f>
        <v/>
      </c>
      <c r="E12" s="16" t="inlineStr">
        <is>
          <t>ANZAHL</t>
        </is>
      </c>
    </row>
    <row r="14" ht="45" customHeight="1">
      <c r="B14" s="20" t="inlineStr">
        <is>
          <t>Aufgabe 1:  Achte auf den Unterschied: ANZAHL zählt nur Zahlen, ANZAHL2 alles was nicht leer ist. Probiere beide einmal auf der Spalte Studiengebühren aus - die Ergebnisse unterscheiden sich.</t>
        </is>
      </c>
    </row>
    <row r="15" ht="28" customHeight="1">
      <c r="B15" s="14" t="inlineStr">
        <is>
          <t>Tipp: Genau dieser Unterschied macht ANZAHL2 zur richtigen Wahl, wenn Textspalten gezählt werden sollen.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B1:E1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6" customWidth="1" min="4" max="4"/>
    <col width="52" customWidth="1" min="5" max="5"/>
  </cols>
  <sheetData>
    <row r="1" ht="22" customHeight="1">
      <c r="B1" s="1" t="inlineStr">
        <is>
          <t>MinMax+Rang</t>
        </is>
      </c>
    </row>
    <row r="2">
      <c r="B2" s="16" t="inlineStr">
        <is>
          <t>Kapitel: MIN/MAX, KGRÖSSTE/KKLEINSTE, RANG</t>
        </is>
      </c>
    </row>
    <row r="4">
      <c r="B4" s="11" t="inlineStr">
        <is>
          <t>Gesuchte Kennzahl</t>
        </is>
      </c>
      <c r="C4" s="11" t="inlineStr">
        <is>
          <t>dein Ergebnis</t>
        </is>
      </c>
      <c r="D4" s="11" t="inlineStr">
        <is>
          <t>Kontrolle</t>
        </is>
      </c>
      <c r="E4" s="11" t="inlineStr">
        <is>
          <t>zu verwendende Funktion</t>
        </is>
      </c>
    </row>
    <row r="5" ht="14" customHeight="1">
      <c r="B5" s="13" t="inlineStr">
        <is>
          <t>Höchste erreichte Punktezahl</t>
        </is>
      </c>
      <c r="C5" s="17" t="n"/>
      <c r="D5" s="18">
        <f>IF(C5="","Kontrolle",IF(AND(_xlfn.ISFORMULA(C5),ABS(C5-100)&lt;0.5),"OK - richtig",IF(ABS(C5-100)&lt;0.5,"Ergebnis stimmt - bitte als Formel eingeben!","noch nicht richtig")))</f>
        <v/>
      </c>
      <c r="E5" s="16" t="inlineStr">
        <is>
          <t>MAX</t>
        </is>
      </c>
    </row>
    <row r="6" ht="14" customHeight="1">
      <c r="B6" s="13" t="inlineStr">
        <is>
          <t>Niedrigste erreichte Punktezahl</t>
        </is>
      </c>
      <c r="C6" s="17" t="n"/>
      <c r="D6" s="18">
        <f>IF(C6="","Kontrolle",IF(AND(_xlfn.ISFORMULA(C6),ABS(C6-28)&lt;0.5),"OK - richtig",IF(ABS(C6-28)&lt;0.5,"Ergebnis stimmt - bitte als Formel eingeben!","noch nicht richtig")))</f>
        <v/>
      </c>
      <c r="E6" s="16" t="inlineStr">
        <is>
          <t>MIN</t>
        </is>
      </c>
    </row>
    <row r="7" ht="14" customHeight="1">
      <c r="B7" s="13" t="inlineStr">
        <is>
          <t>Drittbeste Punktezahl</t>
        </is>
      </c>
      <c r="C7" s="17" t="n"/>
      <c r="D7" s="18">
        <f>IF(C7="","Kontrolle",IF(AND(_xlfn.ISFORMULA(C7),ABS(C7-99)&lt;0.5),"OK - richtig",IF(ABS(C7-99)&lt;0.5,"Ergebnis stimmt - bitte als Formel eingeben!","noch nicht richtig")))</f>
        <v/>
      </c>
      <c r="E7" s="16" t="inlineStr">
        <is>
          <t>KGRÖSSTE</t>
        </is>
      </c>
    </row>
    <row r="8" ht="14" customHeight="1">
      <c r="B8" s="13" t="inlineStr">
        <is>
          <t>Zweitschlechteste Punktezahl</t>
        </is>
      </c>
      <c r="C8" s="17" t="n"/>
      <c r="D8" s="18">
        <f>IF(C8="","Kontrolle",IF(AND(_xlfn.ISFORMULA(C8),ABS(C8-28)&lt;0.5),"OK - richtig",IF(ABS(C8-28)&lt;0.5,"Ergebnis stimmt - bitte als Formel eingeben!","noch nicht richtig")))</f>
        <v/>
      </c>
      <c r="E8" s="16" t="inlineStr">
        <is>
          <t>KKLEINSTE</t>
        </is>
      </c>
    </row>
    <row r="9" ht="14" customHeight="1">
      <c r="B9" s="13" t="inlineStr">
        <is>
          <t>Zehntbeste Punktezahl</t>
        </is>
      </c>
      <c r="C9" s="17" t="n"/>
      <c r="D9" s="18">
        <f>IF(C9="","Kontrolle",IF(AND(_xlfn.ISFORMULA(C9),ABS(C9-96)&lt;0.5),"OK - richtig",IF(ABS(C9-96)&lt;0.5,"Ergebnis stimmt - bitte als Formel eingeben!","noch nicht richtig")))</f>
        <v/>
      </c>
      <c r="E9" s="16" t="inlineStr">
        <is>
          <t>KGRÖSSTE</t>
        </is>
      </c>
    </row>
    <row r="10">
      <c r="B10" s="13" t="inlineStr">
        <is>
          <t>Welchen Rang hat die Punktezahl 96? (absteigend, bester Rang = 1)</t>
        </is>
      </c>
      <c r="C10" s="17" t="n"/>
      <c r="D10" s="18">
        <f>IF(C10="","Kontrolle",IF(AND(_xlfn.ISFORMULA(C10),C10=9),"OK - richtig",IF(C10=9,"Ergebnis stimmt - bitte als Formel eingeben!","noch nicht richtig")))</f>
        <v/>
      </c>
      <c r="E10" s="16" t="inlineStr">
        <is>
          <t>RANG bzw. RANG.GLEICH</t>
        </is>
      </c>
    </row>
    <row r="12" ht="60" customHeight="1">
      <c r="B12" s="20" t="inlineStr">
        <is>
          <t>Aufgabe 1:  RANG und KGRÖSSTE sind Gegenstücke: KGRÖSSTE liefert den Wert zu einer bekannten Position, RANG die Position zu einem bekannten Wert. Prüfe das nach, indem du KGRÖSSTE auf den Rang aus der letzten Zeile anwendest - es muss wieder 96 herauskommen.</t>
        </is>
      </c>
    </row>
    <row r="13" ht="28" customHeight="1">
      <c r="B13" s="14" t="inlineStr">
        <is>
          <t>Tipp: Der dritte Parameter von RANG steuert die Richtung: 0 (oder weggelassen) = absteigend, 1 = aufsteigend.</t>
        </is>
      </c>
    </row>
    <row r="14">
      <c r="B14" s="21" t="inlineStr">
        <is>
          <t>Gegenprobe: KGRÖSSTE mit dem Rang von oben</t>
        </is>
      </c>
      <c r="C14" s="17" t="n"/>
      <c r="D14" s="18">
        <f>IF(C14="","Kontrolle",IF(AND(_xlfn.ISFORMULA(C14),C14=96),"OK - richtig",IF(C14=96,"Ergebnis stimmt - bitte als Formel eingeben!","noch nicht richtig")))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B1:F2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6" customWidth="1" min="4" max="4"/>
    <col width="56" customWidth="1" min="5" max="5"/>
  </cols>
  <sheetData>
    <row r="1" ht="22" customHeight="1">
      <c r="B1" s="1" t="inlineStr">
        <is>
          <t>Verweise</t>
        </is>
      </c>
    </row>
    <row r="2">
      <c r="B2" s="16" t="inlineStr">
        <is>
          <t>Kapitel: SVERWEIS und WVERWEIS / XVERWEIS</t>
        </is>
      </c>
    </row>
    <row r="4" ht="28" customHeight="1">
      <c r="B4" s="14" t="inlineStr">
        <is>
          <t>Gesuchter Studierender für die Aufgaben 1 bis 3: Matrikelnummer 211052366.</t>
        </is>
      </c>
    </row>
    <row r="6">
      <c r="B6" s="11" t="inlineStr">
        <is>
          <t>Aufgabe</t>
        </is>
      </c>
      <c r="C6" s="11" t="inlineStr">
        <is>
          <t>dein Ergebnis</t>
        </is>
      </c>
      <c r="D6" s="11" t="inlineStr">
        <is>
          <t>Kontrolle</t>
        </is>
      </c>
      <c r="E6" s="11" t="inlineStr">
        <is>
          <t>Hinweis</t>
        </is>
      </c>
    </row>
    <row r="7" ht="14" customHeight="1">
      <c r="B7" s="13" t="inlineStr">
        <is>
          <t>Nachname zur Matrikelnummer 211052366</t>
        </is>
      </c>
      <c r="C7" s="4" t="n"/>
      <c r="D7" s="18">
        <f>IF(C7="","Kontrolle",IF(AND(_xlfn.ISFORMULA(C7),EXACT(C7,"Vita")),"OK - richtig",IF(EXACT(C7,"Vita"),"Ergebnis stimmt - bitte als Formel eingeben!","noch nicht richtig")))</f>
        <v/>
      </c>
      <c r="E7" s="16" t="inlineStr">
        <is>
          <t>SVERWEIS - Matrix ab der Spalte mit der Matrikelnummer, Spaltenindex 3</t>
        </is>
      </c>
    </row>
    <row r="8" ht="14" customHeight="1">
      <c r="B8" s="13" t="inlineStr">
        <is>
          <t>Studiengang zur Matrikelnummer 211052366</t>
        </is>
      </c>
      <c r="C8" s="4" t="n"/>
      <c r="D8" s="18">
        <f>IF(C8="","Kontrolle",IF(AND(_xlfn.ISFORMULA(C8),EXACT(C8,"MA WING")),"OK - richtig",IF(EXACT(C8,"MA WING"),"Ergebnis stimmt - bitte als Formel eingeben!","noch nicht richtig")))</f>
        <v/>
      </c>
      <c r="E8" s="16" t="inlineStr">
        <is>
          <t>SVERWEIS mit Spaltenindex 4, Bereich_Verweis = FALSCH</t>
        </is>
      </c>
    </row>
    <row r="9" ht="14" customHeight="1">
      <c r="B9" s="13" t="inlineStr">
        <is>
          <t>Note für 71 Punkte laut Notenschlüssel</t>
        </is>
      </c>
      <c r="C9" s="17" t="n"/>
      <c r="D9" s="18">
        <f>IF(C9="","Kontrolle",IF(AND(_xlfn.ISFORMULA(C9),ABS(C9-3)&lt;0.5),"OK - richtig",IF(ABS(C9-3)&lt;0.5,"Ergebnis stimmt - bitte als Formel eingeben!","noch nicht richtig")))</f>
        <v/>
      </c>
      <c r="E9" s="16" t="inlineStr">
        <is>
          <t>SVERWEIS auf den Notenschlüssel mit Bereich_Verweis = WAHR (Näherung!)</t>
        </is>
      </c>
    </row>
    <row r="10" ht="14" customHeight="1">
      <c r="B10" s="13" t="inlineStr">
        <is>
          <t>Prädikat für 71 Punkte laut Notenschlüssel</t>
        </is>
      </c>
      <c r="C10" s="4" t="n"/>
      <c r="D10" s="18">
        <f>IF(C10="","Kontrolle",IF(AND(_xlfn.ISFORMULA(C10),EXACT(C10,"befriedigend")),"OK - richtig",IF(EXACT(C10,"befriedigend"),"Ergebnis stimmt - bitte als Formel eingeben!","noch nicht richtig")))</f>
        <v/>
      </c>
      <c r="E10" s="16" t="inlineStr">
        <is>
          <t>wie oben, aber Spaltenindex 3</t>
        </is>
      </c>
    </row>
    <row r="12" ht="30" customHeight="1">
      <c r="B12" s="20" t="inlineStr">
        <is>
          <t>Aufgabe 4:  WVERWEIS sucht waagrecht. Hole aus der Quartalstabelle unten den Umsatz des Quartals Q3.</t>
        </is>
      </c>
    </row>
    <row r="13" ht="14" customHeight="1">
      <c r="B13" s="14" t="inlineStr">
        <is>
          <t>Tipp: =WVERWEIS("Q3"; Matrix; Zeilenindex; FALSCH)</t>
        </is>
      </c>
    </row>
    <row r="14">
      <c r="C14" s="11" t="inlineStr">
        <is>
          <t>Q1</t>
        </is>
      </c>
      <c r="D14" s="11" t="inlineStr">
        <is>
          <t>Q2</t>
        </is>
      </c>
      <c r="E14" s="11" t="inlineStr">
        <is>
          <t>Q3</t>
        </is>
      </c>
      <c r="F14" s="11" t="inlineStr">
        <is>
          <t>Q4</t>
        </is>
      </c>
    </row>
    <row r="15">
      <c r="C15" s="22" t="n">
        <v>420000</v>
      </c>
      <c r="D15" s="22" t="n">
        <v>352100</v>
      </c>
      <c r="E15" s="22" t="n">
        <v>948526</v>
      </c>
      <c r="F15" s="22" t="n">
        <v>150600</v>
      </c>
    </row>
    <row r="17">
      <c r="B17" s="21" t="inlineStr">
        <is>
          <t>Umsatz Q3 über WVERWEIS</t>
        </is>
      </c>
      <c r="C17" s="17" t="n"/>
      <c r="D17" s="18">
        <f>IF(C17="","Kontrolle",IF(AND(_xlfn.ISFORMULA(C17),C17=948526),"OK - richtig",IF(C17=948526,"Ergebnis stimmt - bitte als Formel eingeben!","noch nicht richtig")))</f>
        <v/>
      </c>
    </row>
    <row r="19" ht="30" customHeight="1">
      <c r="B19" s="20" t="inlineStr">
        <is>
          <t>Aufgabe 5:  Jetzt das, was SVERWEIS NICHT kann: Suche über den Nachnamen und gib die Matrikelnummer zurück - die steht LINKS der Suchspalte.</t>
        </is>
      </c>
    </row>
    <row r="20" ht="28" customHeight="1">
      <c r="B20" s="14" t="inlineStr">
        <is>
          <t>Tipp: XVERWEIS trennt Suchmatrix und Rückgabematrix - damit ist die Richtung egal.</t>
        </is>
      </c>
    </row>
    <row r="21">
      <c r="B21" s="21" t="inlineStr">
        <is>
          <t>Matrikelnummer von Vita</t>
        </is>
      </c>
      <c r="C21" s="23" t="n"/>
      <c r="D21" s="18">
        <f>IF(C21="","Kontrolle",IF(AND(_xlfn.ISFORMULA(C21),C21=211052366),"OK - richtig",IF(C21=211052366,"Ergebnis stimmt - bitte als Formel eingeben!","noch nicht richtig")))</f>
        <v/>
      </c>
    </row>
    <row r="23" ht="45" customHeight="1">
      <c r="B23" s="20" t="inlineStr">
        <is>
          <t>Aufgabe 6:  Suche mit XVERWEIS nach dem Nachnamen Mustermann - den gibt es nicht. Sorge mit dem Parameter Wenn_nicht_gefunden dafür, dass statt eines Fehlers der Text nicht gefunden ausgegeben wird.</t>
        </is>
      </c>
    </row>
    <row r="24" ht="28" customHeight="1">
      <c r="B24" s="14" t="inlineStr">
        <is>
          <t>Tipp: =XVERWEIS("Mustermann"; Suchmatrix; Rückgabematrix; "nicht gefunden"; 0)</t>
        </is>
      </c>
    </row>
    <row r="25">
      <c r="C25" s="4" t="n"/>
      <c r="D25" s="18">
        <f>IF(C25="","Kontrolle",IF(AND(_xlfn.ISFORMULA(C25),EXACT(C25,"nicht gefunden")),"OK - richtig",IF(EXACT(C25,"nicht gefunden"),"Ergebnis stimmt - bitte als Formel eingeben!","noch nicht richtig")))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B1:E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6" customWidth="1" min="4" max="4"/>
    <col width="56" customWidth="1" min="5" max="5"/>
  </cols>
  <sheetData>
    <row r="1" ht="22" customHeight="1">
      <c r="B1" s="1" t="inlineStr">
        <is>
          <t>INDEX+VERGLEICH</t>
        </is>
      </c>
    </row>
    <row r="2">
      <c r="B2" s="16" t="inlineStr">
        <is>
          <t>Kapitel: VERGLEICH / INDEX</t>
        </is>
      </c>
    </row>
    <row r="4" ht="14" customHeight="1">
      <c r="B4" s="14" t="inlineStr">
        <is>
          <t>Gesuchter Studierender: Himbert.</t>
        </is>
      </c>
    </row>
    <row r="6">
      <c r="B6" s="11" t="inlineStr">
        <is>
          <t>Aufgabe</t>
        </is>
      </c>
      <c r="C6" s="11" t="inlineStr">
        <is>
          <t>dein Ergebnis</t>
        </is>
      </c>
      <c r="D6" s="11" t="inlineStr">
        <is>
          <t>Kontrolle</t>
        </is>
      </c>
      <c r="E6" s="11" t="inlineStr">
        <is>
          <t>Hinweis</t>
        </is>
      </c>
    </row>
    <row r="7" ht="14" customHeight="1">
      <c r="B7" s="13" t="inlineStr">
        <is>
          <t>An welcher Position im Bereich Nachname steht Himbert?</t>
        </is>
      </c>
      <c r="C7" s="17" t="n"/>
      <c r="D7" s="18">
        <f>IF(C7="","Kontrolle",IF(AND(_xlfn.ISFORMULA(C7),ABS(C7-26)&lt;0.5),"OK - richtig",IF(ABS(C7-26)&lt;0.5,"Ergebnis stimmt - bitte als Formel eingeben!","noch nicht richtig")))</f>
        <v/>
      </c>
      <c r="E7" s="16" t="inlineStr">
        <is>
          <t>=VERGLEICH("Himbert";Studenten!$D$4:$D$63;0)</t>
        </is>
      </c>
    </row>
    <row r="8" ht="14" customHeight="1">
      <c r="B8" s="13" t="inlineStr">
        <is>
          <t>Welcher Vorname steht an Position 26 im Bereich Vorname?</t>
        </is>
      </c>
      <c r="C8" s="4" t="n"/>
      <c r="D8" s="18">
        <f>IF(C8="","Kontrolle",IF(AND(_xlfn.ISFORMULA(C8),EXACT(C8,"Erna")),"OK - richtig",IF(EXACT(C8,"Erna"),"Ergebnis stimmt - bitte als Formel eingeben!","noch nicht richtig")))</f>
        <v/>
      </c>
      <c r="E8" s="16" t="inlineStr">
        <is>
          <t>=INDEX(Studenten!$C$4:$C$63;26)</t>
        </is>
      </c>
    </row>
    <row r="9" ht="28" customHeight="1">
      <c r="B9" s="13" t="inlineStr">
        <is>
          <t>Matrikelnummer von Himbert - diesmal mit INDEX und VERGLEICH kombiniert</t>
        </is>
      </c>
      <c r="C9" s="23" t="n"/>
      <c r="D9" s="18">
        <f>IF(C9="","Kontrolle",IF(AND(_xlfn.ISFORMULA(C9),ABS(C9-211052374)&lt;0.5),"OK - richtig",IF(ABS(C9-211052374)&lt;0.5,"Ergebnis stimmt - bitte als Formel eingeben!","noch nicht richtig")))</f>
        <v/>
      </c>
      <c r="E9" s="16" t="inlineStr">
        <is>
          <t>INDEX liefert den Wert, VERGLEICH die Zeilennummer dafür</t>
        </is>
      </c>
    </row>
    <row r="10" ht="14" customHeight="1">
      <c r="B10" s="13" t="inlineStr">
        <is>
          <t>Studiengang von Himbert über INDEX und VERGLEICH</t>
        </is>
      </c>
      <c r="C10" s="4" t="n"/>
      <c r="D10" s="18">
        <f>IF(C10="","Kontrolle",IF(AND(_xlfn.ISFORMULA(C10),EXACT(C10,"BA MECH")),"OK - richtig",IF(EXACT(C10,"BA MECH"),"Ergebnis stimmt - bitte als Formel eingeben!","noch nicht richtig")))</f>
        <v/>
      </c>
      <c r="E10" s="16" t="inlineStr">
        <is>
          <t>Diesmal kannst du auch die 2D-Variante von INDEX verwenden</t>
        </is>
      </c>
    </row>
    <row r="12" ht="45" customHeight="1">
      <c r="B12" s="20" t="inlineStr">
        <is>
          <t>Aufgabe 1:  Vergleiche INDEX+VERGLEICH mit dem XVERWEIS von vorhin: Beide lösen dasselbe Problem. INDEX+VERGLEICH funktioniert in JEDER Excel-Version, XVERWEIS erst ab Microsoft 365 bzw. Excel 2021.</t>
        </is>
      </c>
    </row>
    <row r="13" ht="28" customHeight="1">
      <c r="B13" s="14" t="inlineStr">
        <is>
          <t>Tipp: In gemeinsam genutzten Dateien ist INDEX+VERGLEICH deshalb oft die sichere Wahl.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B1:E1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6" customWidth="1" min="4" max="4"/>
    <col width="56" customWidth="1" min="5" max="5"/>
  </cols>
  <sheetData>
    <row r="1" ht="22" customHeight="1">
      <c r="B1" s="1" t="inlineStr">
        <is>
          <t>INDIREKT</t>
        </is>
      </c>
    </row>
    <row r="2">
      <c r="B2" s="16" t="inlineStr">
        <is>
          <t>Kapitel: INDIREKT</t>
        </is>
      </c>
    </row>
    <row r="4" ht="30" customHeight="1">
      <c r="B4" s="20" t="inlineStr">
        <is>
          <t>Aufgabe 1:  Benenne auf den Blättern Punkte2021 und Punkte2022 jeweils die Spalte Punkte. Verwende die Namen Punkte_2021 und Punkte_2022.</t>
        </is>
      </c>
    </row>
    <row r="5" ht="42" customHeight="1">
      <c r="B5" s="14" t="inlineStr">
        <is>
          <t>Tipp: Bereich markieren - Namen in die Adressdropdownbox links oben eintragen. Genau diese Schreibweise ist wichtig, sonst funktioniert INDIREKT nicht.</t>
        </is>
      </c>
    </row>
    <row r="6" ht="45" customHeight="1">
      <c r="B6" s="20" t="inlineStr">
        <is>
          <t>Aufgabe 2:  Trage in die gelbe Zelle das Jahr ein (2021 oder 2022). Die beiden Kennzahlen darunter sollen sich automatisch mitändern - baue den Namen mit INDIREKT und dem &amp;-Operator zusammen.</t>
        </is>
      </c>
    </row>
    <row r="7" ht="14" customHeight="1">
      <c r="B7" s="14" t="inlineStr">
        <is>
          <t>Tipp: =SUMME(INDIREKT("Punkte_"&amp;$C$&lt;Jahreszelle&gt;))</t>
        </is>
      </c>
    </row>
    <row r="8">
      <c r="B8" s="24" t="inlineStr">
        <is>
          <t>Gewähltes Jahr</t>
        </is>
      </c>
      <c r="C8" s="23" t="n">
        <v>2022</v>
      </c>
    </row>
    <row r="10">
      <c r="B10" s="11" t="inlineStr">
        <is>
          <t>Kennzahl (abhängig vom gewählten Jahr)</t>
        </is>
      </c>
      <c r="C10" s="11" t="inlineStr">
        <is>
          <t>dein Ergebnis</t>
        </is>
      </c>
      <c r="D10" s="11" t="inlineStr">
        <is>
          <t>Kontrolle</t>
        </is>
      </c>
      <c r="E10" s="11" t="inlineStr">
        <is>
          <t>Hinweis</t>
        </is>
      </c>
    </row>
    <row r="11">
      <c r="B11" s="21" t="inlineStr">
        <is>
          <t>Summe aller Punkte des gewählten Jahres</t>
        </is>
      </c>
      <c r="C11" s="17" t="n"/>
      <c r="D11" s="18">
        <f>IF(C11="","Kontrolle",IF(AND(_xlfn.ISFORMULA(C11),IF($C$8=2021,ABS(C11-7594)&lt;0.5,ABS(C11-7915)&lt;0.5)),"OK - richtig",IF(IF($C$8=2021,ABS(C11-7594)&lt;0.5,ABS(C11-7915)&lt;0.5),"Ergebnis stimmt - bitte als Formel eingeben!","noch nicht richtig")))</f>
        <v/>
      </c>
      <c r="E11" s="16" t="inlineStr">
        <is>
          <t>=SUMME(INDIREKT("Punkte_"&amp;$C$8))</t>
        </is>
      </c>
    </row>
    <row r="12">
      <c r="B12" s="21" t="inlineStr">
        <is>
          <t>Mittelwert der Punkte des gewählten Jahres</t>
        </is>
      </c>
      <c r="C12" s="19" t="n"/>
      <c r="D12" s="18">
        <f>IF(C12="","Kontrolle",IF(AND(_xlfn.ISFORMULA(C12),IF($C$8=2021,ABS(C12-63.283333)&lt;0.005,ABS(C12-65.958333)&lt;0.005)),"OK - richtig",IF(IF($C$8=2021,ABS(C12-63.283333)&lt;0.005,ABS(C12-65.958333)&lt;0.005),"Ergebnis stimmt - bitte als Formel eingeben!","noch nicht richtig")))</f>
        <v/>
      </c>
      <c r="E12" s="16" t="inlineStr">
        <is>
          <t>=MITTELWERT(INDIREKT("Punkte_"&amp;$C$8))</t>
        </is>
      </c>
    </row>
    <row r="14" ht="45" customHeight="1">
      <c r="B14" s="20" t="inlineStr">
        <is>
          <t>Aufgabe 3:  Stelle das Jahr um und beobachte, wie sich beide Kennzahlen ändern - ohne dass du eine einzige Formel anfassen musst. Genau dafür ist INDIREKT da.</t>
        </is>
      </c>
    </row>
    <row r="16" ht="45" customHeight="1">
      <c r="B16" s="20" t="inlineStr">
        <is>
          <t>Aufgabe 4:  INDIREKT kann auch einzelne Zellen ansprechen. Baue eine Formel, die den Inhalt der Zelle B4 des Blattes Studenten liefert - und zwar aus den Textbausteinen "Studenten!B" und der Zahl 4.</t>
        </is>
      </c>
    </row>
    <row r="17" ht="14" customHeight="1">
      <c r="B17" s="14" t="inlineStr">
        <is>
          <t>Tipp: =INDIREKT("Studenten!B"&amp;4)</t>
        </is>
      </c>
    </row>
    <row r="18">
      <c r="C18" s="23" t="n"/>
      <c r="D18" s="18">
        <f>IF(C18="","Kontrolle",IF(AND(_xlfn.ISFORMULA(C18),C18=211052349),"OK - richtig",IF(C18=211052349,"Ergebnis stimmt - bitte als Formel eingeben!","noch nicht richtig")))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B1:E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46" customWidth="1" min="4" max="4"/>
    <col width="58" customWidth="1" min="5" max="5"/>
  </cols>
  <sheetData>
    <row r="1" ht="22" customHeight="1">
      <c r="B1" s="1" t="inlineStr">
        <is>
          <t>WENN-Familie</t>
        </is>
      </c>
    </row>
    <row r="2">
      <c r="B2" s="16" t="inlineStr">
        <is>
          <t>Kapitel: SUMMEWENN, MITTELWERTWENN, ZÄHLENWENN, MAXWENNS, MINWENNS</t>
        </is>
      </c>
    </row>
    <row r="4">
      <c r="B4" s="11" t="inlineStr">
        <is>
          <t>Gesuchte Kennzahl</t>
        </is>
      </c>
      <c r="C4" s="11" t="inlineStr">
        <is>
          <t>dein Ergebnis</t>
        </is>
      </c>
      <c r="D4" s="11" t="inlineStr">
        <is>
          <t>Kontrolle</t>
        </is>
      </c>
      <c r="E4" s="11" t="inlineStr">
        <is>
          <t>zu verwendende Funktion</t>
        </is>
      </c>
    </row>
    <row r="5" ht="14" customHeight="1">
      <c r="B5" s="13" t="inlineStr">
        <is>
          <t>Summe der Studiengebühren aller BA-WING-Studierenden</t>
        </is>
      </c>
      <c r="C5" s="17" t="n"/>
      <c r="D5" s="18">
        <f>IF(C5="","Kontrolle",IF(AND(_xlfn.ISFORMULA(C5),ABS(C5-7340)&lt;0.5),"OK - richtig",IF(ABS(C5-7340)&lt;0.5,"Ergebnis stimmt - bitte als Formel eingeben!","noch nicht richtig")))</f>
        <v/>
      </c>
      <c r="E5" s="16" t="inlineStr">
        <is>
          <t>SUMMEWENN</t>
        </is>
      </c>
    </row>
    <row r="6" ht="14" customHeight="1">
      <c r="B6" s="13" t="inlineStr">
        <is>
          <t>Durchschnittliche Punktezahl in der LV DBI</t>
        </is>
      </c>
      <c r="C6" s="19" t="n"/>
      <c r="D6" s="18">
        <f>IF(C6="","Kontrolle",IF(AND(_xlfn.ISFORMULA(C6),ABS(C6-64.666667)&lt;0.005),"OK - richtig",IF(ABS(C6-64.666667)&lt;0.005,"Ergebnis stimmt - bitte als Formel eingeben!","noch nicht richtig")))</f>
        <v/>
      </c>
      <c r="E6" s="16" t="inlineStr">
        <is>
          <t>MITTELWERTWENN</t>
        </is>
      </c>
    </row>
    <row r="7" ht="14" customHeight="1">
      <c r="B7" s="13" t="inlineStr">
        <is>
          <t>Anzahl der MA-WING-Studierenden</t>
        </is>
      </c>
      <c r="C7" s="17" t="n"/>
      <c r="D7" s="18">
        <f>IF(C7="","Kontrolle",IF(AND(_xlfn.ISFORMULA(C7),ABS(C7-20)&lt;0.5),"OK - richtig",IF(ABS(C7-20)&lt;0.5,"Ergebnis stimmt - bitte als Formel eingeben!","noch nicht richtig")))</f>
        <v/>
      </c>
      <c r="E7" s="16" t="inlineStr">
        <is>
          <t>ZÄHLENWENN</t>
        </is>
      </c>
    </row>
    <row r="8" ht="14" customHeight="1">
      <c r="B8" s="13" t="inlineStr">
        <is>
          <t>Anzahl der Prüfungen mit mehr als 80 Punkten</t>
        </is>
      </c>
      <c r="C8" s="17" t="n"/>
      <c r="D8" s="18">
        <f>IF(C8="","Kontrolle",IF(AND(_xlfn.ISFORMULA(C8),ABS(C8-40)&lt;0.5),"OK - richtig",IF(ABS(C8-40)&lt;0.5,"Ergebnis stimmt - bitte als Formel eingeben!","noch nicht richtig")))</f>
        <v/>
      </c>
      <c r="E8" s="16" t="inlineStr">
        <is>
          <t>ZÄHLENWENN mit dem Kriterium "&gt;80"</t>
        </is>
      </c>
    </row>
    <row r="9" ht="14" customHeight="1">
      <c r="B9" s="13" t="inlineStr">
        <is>
          <t>Höchste Punktezahl in der LV MAT</t>
        </is>
      </c>
      <c r="C9" s="17" t="n"/>
      <c r="D9" s="18">
        <f>IF(C9="","Kontrolle",IF(AND(_xlfn.ISFORMULA(C9),ABS(C9-100)&lt;0.5),"OK - richtig",IF(ABS(C9-100)&lt;0.5,"Ergebnis stimmt - bitte als Formel eingeben!","noch nicht richtig")))</f>
        <v/>
      </c>
      <c r="E9" s="16" t="inlineStr">
        <is>
          <t>MAXWENNS</t>
        </is>
      </c>
    </row>
    <row r="10" ht="14" customHeight="1">
      <c r="B10" s="13" t="inlineStr">
        <is>
          <t>Niedrigste Punktezahl in der LV MAT</t>
        </is>
      </c>
      <c r="C10" s="17" t="n"/>
      <c r="D10" s="18">
        <f>IF(C10="","Kontrolle",IF(AND(_xlfn.ISFORMULA(C10),ABS(C10-28)&lt;0.5),"OK - richtig",IF(ABS(C10-28)&lt;0.5,"Ergebnis stimmt - bitte als Formel eingeben!","noch nicht richtig")))</f>
        <v/>
      </c>
      <c r="E10" s="16" t="inlineStr">
        <is>
          <t>MINWENNS</t>
        </is>
      </c>
    </row>
    <row r="12" ht="45" customHeight="1">
      <c r="B12" s="20" t="inlineStr">
        <is>
          <t>Aufgabe 1:  Achte auf die unterschiedliche Reihenfolge der Parameter: Bei SUMMEWENN kommt zuerst der Kriterienbereich, bei MAXWENNS zuerst der auszuwertende Bereich. Das ist eine der häufigsten Fehlerquellen.</t>
        </is>
      </c>
    </row>
    <row r="13" ht="28" customHeight="1">
      <c r="B13" s="14" t="inlineStr">
        <is>
          <t>Tipp: SUMMEWENN(Kriterienbereich; Kriterium; Summenbereich)   gegen   MAXWENNS(Wertebereich; Kriterienbereich; Kriterium)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B1:H2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4" customWidth="1" min="3" max="3"/>
    <col width="18" customWidth="1" min="4" max="4"/>
    <col width="18" customWidth="1" min="5" max="5"/>
    <col width="52" customWidth="1" min="6" max="6"/>
    <col width="40" customWidth="1" min="8" max="8"/>
  </cols>
  <sheetData>
    <row r="1" ht="22" customHeight="1">
      <c r="B1" s="1" t="inlineStr">
        <is>
          <t>WENN+Fehler</t>
        </is>
      </c>
    </row>
    <row r="2">
      <c r="B2" s="16" t="inlineStr">
        <is>
          <t>Kapitel: WENN / WENNFEHLER / WENNNV</t>
        </is>
      </c>
    </row>
    <row r="4" ht="30" customHeight="1">
      <c r="B4" s="20" t="inlineStr">
        <is>
          <t>Aufgabe 1:  Ab 51 Punkten ist eine Prüfung positiv. Gib in der Spalte Ergebnis bestanden bzw. nicht bestanden aus.</t>
        </is>
      </c>
    </row>
    <row r="5" ht="14" customHeight="1">
      <c r="B5" s="14" t="inlineStr">
        <is>
          <t>Tipp: =WENN(Punkte&gt;=51;"bestanden";"nicht bestanden")</t>
        </is>
      </c>
    </row>
    <row r="6">
      <c r="B6" s="11" t="inlineStr">
        <is>
          <t>Punkte</t>
        </is>
      </c>
      <c r="C6" s="11" t="inlineStr">
        <is>
          <t>Studiengang</t>
        </is>
      </c>
      <c r="D6" s="11" t="inlineStr">
        <is>
          <t>Gebühren bezahlt</t>
        </is>
      </c>
      <c r="E6" s="11" t="inlineStr">
        <is>
          <t>Ergebnis</t>
        </is>
      </c>
      <c r="F6" s="11" t="inlineStr">
        <is>
          <t>Auszeichnung</t>
        </is>
      </c>
    </row>
    <row r="7">
      <c r="B7" s="22" t="n">
        <v>88</v>
      </c>
      <c r="C7" s="15" t="inlineStr">
        <is>
          <t>BA WING</t>
        </is>
      </c>
      <c r="D7" s="15" t="inlineStr">
        <is>
          <t>ja</t>
        </is>
      </c>
      <c r="E7" s="4" t="n"/>
      <c r="F7" s="4" t="n"/>
      <c r="H7" s="18">
        <f>IF(COUNTBLANK(E7:E14)&gt;0,"Kontrolle",IF(AND(EXACT(E7,"bestanden"),EXACT(E8,"nicht bestanden"),EXACT(E9,"bestanden"),EXACT(E10,"nicht bestanden"),EXACT(E11,"bestanden"),EXACT(E12,"bestanden"),EXACT(E13,"nicht bestanden"),EXACT(E14,"bestanden")),"OK - richtig","noch nicht richtig"))</f>
        <v/>
      </c>
    </row>
    <row r="8">
      <c r="B8" s="22" t="n">
        <v>44</v>
      </c>
      <c r="C8" s="15" t="inlineStr">
        <is>
          <t>MA WING</t>
        </is>
      </c>
      <c r="D8" s="15" t="inlineStr">
        <is>
          <t>nein</t>
        </is>
      </c>
      <c r="E8" s="4" t="n"/>
      <c r="F8" s="4" t="n"/>
      <c r="H8" s="18">
        <f>IF(COUNTBLANK(F7:F14)&gt;0,"Kontrolle",IF(AND(EXACT(F7,"ja"),EXACT(F8,"nein"),EXACT(F9,"nein"),EXACT(F10,"nein"),EXACT(F11,"ja"),EXACT(F12,"nein"),EXACT(F13,"nein"),EXACT(F14,"nein")),"OK - richtig","noch nicht richtig"))</f>
        <v/>
      </c>
    </row>
    <row r="9">
      <c r="B9" s="22" t="n">
        <v>63</v>
      </c>
      <c r="C9" s="15" t="inlineStr">
        <is>
          <t>BA MECH</t>
        </is>
      </c>
      <c r="D9" s="15" t="inlineStr">
        <is>
          <t>ja</t>
        </is>
      </c>
      <c r="E9" s="4" t="n"/>
      <c r="F9" s="4" t="n"/>
    </row>
    <row r="10">
      <c r="B10" s="22" t="n">
        <v>50</v>
      </c>
      <c r="C10" s="15" t="inlineStr">
        <is>
          <t>BA WING</t>
        </is>
      </c>
      <c r="D10" s="15" t="inlineStr">
        <is>
          <t>nein</t>
        </is>
      </c>
      <c r="E10" s="4" t="n"/>
      <c r="F10" s="4" t="n"/>
    </row>
    <row r="11">
      <c r="B11" s="22" t="n">
        <v>95</v>
      </c>
      <c r="C11" s="15" t="inlineStr">
        <is>
          <t>MA WING</t>
        </is>
      </c>
      <c r="D11" s="15" t="inlineStr">
        <is>
          <t>ja</t>
        </is>
      </c>
      <c r="E11" s="4" t="n"/>
      <c r="F11" s="4" t="n"/>
    </row>
    <row r="12">
      <c r="B12" s="22" t="n">
        <v>51</v>
      </c>
      <c r="C12" s="15" t="inlineStr">
        <is>
          <t>BA MECH</t>
        </is>
      </c>
      <c r="D12" s="15" t="inlineStr">
        <is>
          <t>ja</t>
        </is>
      </c>
      <c r="E12" s="4" t="n"/>
      <c r="F12" s="4" t="n"/>
    </row>
    <row r="13">
      <c r="B13" s="22" t="n">
        <v>28</v>
      </c>
      <c r="C13" s="15" t="inlineStr">
        <is>
          <t>BA WING</t>
        </is>
      </c>
      <c r="D13" s="15" t="inlineStr">
        <is>
          <t>nein</t>
        </is>
      </c>
      <c r="E13" s="4" t="n"/>
      <c r="F13" s="4" t="n"/>
    </row>
    <row r="14">
      <c r="B14" s="22" t="n">
        <v>76</v>
      </c>
      <c r="C14" s="15" t="inlineStr">
        <is>
          <t>MA WING</t>
        </is>
      </c>
      <c r="D14" s="15" t="inlineStr">
        <is>
          <t>ja</t>
        </is>
      </c>
      <c r="E14" s="4" t="n"/>
      <c r="F14" s="4" t="n"/>
    </row>
    <row r="16" ht="30" customHeight="1">
      <c r="B16" s="20" t="inlineStr">
        <is>
          <t>Aufgabe 2:  In der Spalte Auszeichnung soll ja stehen, wenn die Prüfung mindestens 88 Punkte hat UND die Gebühren bezahlt wurden - sonst nein.</t>
        </is>
      </c>
    </row>
    <row r="17" ht="14" customHeight="1">
      <c r="B17" s="14" t="inlineStr">
        <is>
          <t>Tipp: =WENN(UND(Punkte&gt;=88;Bezahlt="ja");"ja";"nein")</t>
        </is>
      </c>
    </row>
    <row r="19" ht="30" customHeight="1">
      <c r="B19" s="20" t="inlineStr">
        <is>
          <t>Aufgabe 3:  Die Division unten erzeugt einen Fehler. Fange ihn ab und gib stattdessen den Text keine Prüfungen aus.</t>
        </is>
      </c>
    </row>
    <row r="20" ht="14" customHeight="1">
      <c r="B20" s="14" t="inlineStr">
        <is>
          <t>Tipp: =WENNFEHLER(Zähler/Nenner;"keine Prüfungen")</t>
        </is>
      </c>
    </row>
    <row r="21">
      <c r="B21" s="22" t="n">
        <v>0</v>
      </c>
      <c r="C21" s="16" t="inlineStr">
        <is>
          <t>&lt;- Nenner: Anzahl Prüfungen = 0. Rechne 100 geteilt durch diese Zelle.</t>
        </is>
      </c>
    </row>
    <row r="22">
      <c r="B22" s="21" t="inlineStr">
        <is>
          <t>Ergebnis</t>
        </is>
      </c>
      <c r="C22" s="4" t="n"/>
      <c r="F22" s="18">
        <f>IF(C22="","Kontrolle",IF(AND(_xlfn.ISFORMULA(C22),EXACT(C22,"keine Prüfungen")),"OK - richtig",IF(EXACT(C22,"keine Prüfungen"),"Ergebnis stimmt - bitte als Formel eingeben!","noch nicht richtig")))</f>
        <v/>
      </c>
    </row>
    <row r="24" ht="30" customHeight="1">
      <c r="B24" s="20" t="inlineStr">
        <is>
          <t>Aufgabe 4:  Ein SVERWEIS nach der Matrikelnummer 999999999 findet nichts und liefert #NV. Fange gezielt diesen Fehler ab und gib unbekannt aus.</t>
        </is>
      </c>
    </row>
    <row r="25" ht="28" customHeight="1">
      <c r="B25" s="14" t="inlineStr">
        <is>
          <t>Tipp: =WENNNV(SVERWEIS(999999999;Studenten!$B$..:$F$..;3;FALSCH);"unbekannt")</t>
        </is>
      </c>
    </row>
    <row r="26">
      <c r="C26" s="4" t="n"/>
      <c r="F26" s="18">
        <f>IF(C26="","Kontrolle",IF(AND(_xlfn.ISFORMULA(C26),EXACT(C26,"unbekannt")),"OK - richtig",IF(EXACT(C26,"unbekannt"),"Ergebnis stimmt - bitte als Formel eingeben!","noch nicht richtig")))</f>
        <v/>
      </c>
    </row>
    <row r="28" ht="45" customHeight="1">
      <c r="B28" s="20" t="inlineStr">
        <is>
          <t>Aufgabe 5:  Wann WENNFEHLER, wann WENNNV? WENNFEHLER schluckt JEDEN Fehler - auch einen Tippfehler in deiner eigenen Formel. WENNNV reagiert nur auf #NV. Bei Verweisen ist WENNNV daher die ehrlichere Wahl.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55A11"/>
    <outlinePr summaryBelow="1" summaryRight="1"/>
    <pageSetUpPr/>
  </sheetPr>
  <dimension ref="B1:M2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6" customWidth="1" min="10" max="10"/>
    <col width="22" customWidth="1" min="12" max="12"/>
    <col width="66" customWidth="1" min="13" max="13"/>
  </cols>
  <sheetData>
    <row r="1" ht="22" customHeight="1">
      <c r="B1" s="1" t="inlineStr">
        <is>
          <t>8  Praxisfall: Notenliste auswerten</t>
        </is>
      </c>
    </row>
    <row r="2">
      <c r="B2" s="16" t="inlineStr">
        <is>
          <t>Alles aus diesem Kapitel an einem Stück - so sieht die Arbeit in der Praxis aus.</t>
        </is>
      </c>
    </row>
    <row r="4" ht="42" customHeight="1">
      <c r="B4" s="2" t="inlineStr">
        <is>
          <t>Für die ersten 20 Prüfungen des Blattes "Noten" sollst du die Liste vervollständigen. Schreibe jede Formel nur einmal und ziehe sie nach unten - achte dabei auf absolute Bezüge.</t>
        </is>
      </c>
    </row>
    <row r="6" ht="30" customHeight="1">
      <c r="B6" s="11" t="inlineStr">
        <is>
          <t>Matrikelnummer</t>
        </is>
      </c>
      <c r="C6" s="11" t="inlineStr">
        <is>
          <t>LV</t>
        </is>
      </c>
      <c r="D6" s="11" t="inlineStr">
        <is>
          <t>Punkte</t>
        </is>
      </c>
      <c r="E6" s="11" t="inlineStr">
        <is>
          <t>Nachname</t>
        </is>
      </c>
      <c r="F6" s="11" t="inlineStr">
        <is>
          <t>Note</t>
        </is>
      </c>
      <c r="G6" s="11" t="inlineStr">
        <is>
          <t>Prädikat</t>
        </is>
      </c>
      <c r="H6" s="11" t="inlineStr">
        <is>
          <t>Rang</t>
        </is>
      </c>
      <c r="I6" s="11" t="inlineStr">
        <is>
          <t>bestanden?</t>
        </is>
      </c>
    </row>
    <row r="7">
      <c r="B7" s="25" t="n">
        <v>211052349</v>
      </c>
      <c r="C7" s="15" t="inlineStr">
        <is>
          <t>INF</t>
        </is>
      </c>
      <c r="D7" s="22" t="n">
        <v>66</v>
      </c>
      <c r="E7" s="4" t="n"/>
      <c r="F7" s="4" t="n"/>
      <c r="G7" s="4" t="n"/>
      <c r="H7" s="4" t="n"/>
      <c r="I7" s="4" t="n"/>
      <c r="L7" s="18">
        <f>IF(COUNTBLANK(E7:E26)&gt;0,"Kontrolle",IF(AND(EXACT(E7,"Fedder"),EXACT(E8,"Fedder"),EXACT(E9,"Tabbert"),EXACT(E10,"Tabbert"),EXACT(E11,"Kister"),EXACT(E12,"Kister"),EXACT(E13,"Starz"),EXACT(E14,"Starz"),EXACT(E15,"Hoenicke"),EXACT(E16,"Hoenicke"),EXACT(E17,"Alsbach"),EXACT(E18,"Alsbach"),EXACT(E19,"Hassinger"),EXACT(E20,"Hassinger"),EXACT(E21,"Mampel"),EXACT(E22,"Mampel"),EXACT(E23,"Blonigen"),EXACT(E24,"Blonigen"),EXACT(E25,"Koiou"),EXACT(E26,"Koiou")),"OK - richtig","noch nicht richtig"))</f>
        <v/>
      </c>
      <c r="M7" s="16" t="inlineStr">
        <is>
          <t>&lt;- Spalte Nachname - SVERWEIS oder XVERWEIS auf das Blatt Studenten</t>
        </is>
      </c>
    </row>
    <row r="8">
      <c r="B8" s="25" t="n">
        <v>211052349</v>
      </c>
      <c r="C8" s="15" t="inlineStr">
        <is>
          <t>MAT</t>
        </is>
      </c>
      <c r="D8" s="22" t="n">
        <v>53</v>
      </c>
      <c r="E8" s="4" t="n"/>
      <c r="F8" s="4" t="n"/>
      <c r="G8" s="4" t="n"/>
      <c r="H8" s="4" t="n"/>
      <c r="I8" s="4" t="n"/>
      <c r="L8" s="18">
        <f>IF(COUNTBLANK(F7:F26)&gt;0,"Kontrolle",IF(AND(F7=3,F8=4,F9=1,F10=4,F11=2,F12=1,F13=3,F14=1,F15=4,F16=2,F17=2,F18=5,F19=2,F20=5,F21=2,F22=3,F23=3,F24=2,F25=1,F26=4),"OK - richtig","noch nicht richtig"))</f>
        <v/>
      </c>
      <c r="M8" s="16" t="inlineStr">
        <is>
          <t>&lt;- Spalte Note - SVERWEIS auf den Notenschlüssel mit Bereich_Verweis WAHR</t>
        </is>
      </c>
    </row>
    <row r="9">
      <c r="B9" s="25" t="n">
        <v>211052350</v>
      </c>
      <c r="C9" s="15" t="inlineStr">
        <is>
          <t>INF</t>
        </is>
      </c>
      <c r="D9" s="22" t="n">
        <v>96</v>
      </c>
      <c r="E9" s="4" t="n"/>
      <c r="F9" s="4" t="n"/>
      <c r="G9" s="4" t="n"/>
      <c r="H9" s="4" t="n"/>
      <c r="I9" s="4" t="n"/>
      <c r="L9" s="18">
        <f>IF(COUNTBLANK(G7:G26)&gt;0,"Kontrolle",IF(AND(EXACT(G7,"befriedigend"),EXACT(G8,"genügend"),EXACT(G9,"sehr gut"),EXACT(G10,"genügend"),EXACT(G11,"gut"),EXACT(G12,"sehr gut"),EXACT(G13,"befriedigend"),EXACT(G14,"sehr gut"),EXACT(G15,"genügend"),EXACT(G16,"gut"),EXACT(G17,"gut"),EXACT(G18,"nicht genügend"),EXACT(G19,"gut"),EXACT(G20,"nicht genügend"),EXACT(G21,"gut"),EXACT(G22,"befriedigend"),EXACT(G23,"befriedigend"),EXACT(G24,"gut"),EXACT(G25,"sehr gut"),EXACT(G26,"genügend")),"OK - richtig","noch nicht richtig"))</f>
        <v/>
      </c>
      <c r="M9" s="16" t="inlineStr">
        <is>
          <t>&lt;- Spalte Prädikat - wie oben, anderer Spaltenindex</t>
        </is>
      </c>
    </row>
    <row r="10">
      <c r="B10" s="25" t="n">
        <v>211052350</v>
      </c>
      <c r="C10" s="15" t="inlineStr">
        <is>
          <t>PHY</t>
        </is>
      </c>
      <c r="D10" s="22" t="n">
        <v>59</v>
      </c>
      <c r="E10" s="4" t="n"/>
      <c r="F10" s="4" t="n"/>
      <c r="G10" s="4" t="n"/>
      <c r="H10" s="4" t="n"/>
      <c r="I10" s="4" t="n"/>
      <c r="L10" s="18">
        <f>IF(COUNTBLANK(H7:H26)&gt;0,"Kontrolle",IF(AND(H7=62,H8=82,H9=9,H10=70,H11=38,H12=11,H13=60,H14=8,H15=78,H16=20,H17=41,H18=111,H19=20,H20=98,H21=43,H22=51,H23=57,H24=36,H25=1,H26=74),"OK - richtig","noch nicht richtig"))</f>
        <v/>
      </c>
      <c r="M10" s="16" t="inlineStr">
        <is>
          <t>&lt;- Spalte Rang - RANG über ALLE Punkte des Blattes Noten (absolut!)</t>
        </is>
      </c>
    </row>
    <row r="11">
      <c r="B11" s="25" t="n">
        <v>211052351</v>
      </c>
      <c r="C11" s="15" t="inlineStr">
        <is>
          <t>INF</t>
        </is>
      </c>
      <c r="D11" s="22" t="n">
        <v>81</v>
      </c>
      <c r="E11" s="4" t="n"/>
      <c r="F11" s="4" t="n"/>
      <c r="G11" s="4" t="n"/>
      <c r="H11" s="4" t="n"/>
      <c r="I11" s="4" t="n"/>
      <c r="L11" s="18">
        <f>IF(COUNTBLANK(I7:I26)&gt;0,"Kontrolle",IF(AND(EXACT(I7,"ja"),EXACT(I8,"ja"),EXACT(I9,"ja"),EXACT(I10,"ja"),EXACT(I11,"ja"),EXACT(I12,"ja"),EXACT(I13,"ja"),EXACT(I14,"ja"),EXACT(I15,"ja"),EXACT(I16,"ja"),EXACT(I17,"ja"),EXACT(I18,"nein"),EXACT(I19,"ja"),EXACT(I20,"nein"),EXACT(I21,"ja"),EXACT(I22,"ja"),EXACT(I23,"ja"),EXACT(I24,"ja"),EXACT(I25,"ja"),EXACT(I26,"ja")),"OK - richtig","noch nicht richtig"))</f>
        <v/>
      </c>
      <c r="M11" s="16" t="inlineStr">
        <is>
          <t>&lt;- Spalte bestanden? - WENN mit der Grenze 51 Punkte</t>
        </is>
      </c>
    </row>
    <row r="12">
      <c r="B12" s="25" t="n">
        <v>211052351</v>
      </c>
      <c r="C12" s="15" t="inlineStr">
        <is>
          <t>PHY</t>
        </is>
      </c>
      <c r="D12" s="22" t="n">
        <v>95</v>
      </c>
      <c r="E12" s="4" t="n"/>
      <c r="F12" s="4" t="n"/>
      <c r="G12" s="4" t="n"/>
      <c r="H12" s="4" t="n"/>
      <c r="I12" s="4" t="n"/>
    </row>
    <row r="13">
      <c r="B13" s="25" t="n">
        <v>211052352</v>
      </c>
      <c r="C13" s="15" t="inlineStr">
        <is>
          <t>BWL</t>
        </is>
      </c>
      <c r="D13" s="22" t="n">
        <v>67</v>
      </c>
      <c r="E13" s="4" t="n"/>
      <c r="F13" s="4" t="n"/>
      <c r="G13" s="4" t="n"/>
      <c r="H13" s="4" t="n"/>
      <c r="I13" s="4" t="n"/>
    </row>
    <row r="14">
      <c r="B14" s="25" t="n">
        <v>211052352</v>
      </c>
      <c r="C14" s="15" t="inlineStr">
        <is>
          <t>MAT</t>
        </is>
      </c>
      <c r="D14" s="22" t="n">
        <v>97</v>
      </c>
      <c r="E14" s="4" t="n"/>
      <c r="F14" s="4" t="n"/>
      <c r="G14" s="4" t="n"/>
      <c r="H14" s="4" t="n"/>
      <c r="I14" s="4" t="n"/>
    </row>
    <row r="15">
      <c r="B15" s="25" t="n">
        <v>211052353</v>
      </c>
      <c r="C15" s="15" t="inlineStr">
        <is>
          <t>PHY</t>
        </is>
      </c>
      <c r="D15" s="22" t="n">
        <v>54</v>
      </c>
      <c r="E15" s="4" t="n"/>
      <c r="F15" s="4" t="n"/>
      <c r="G15" s="4" t="n"/>
      <c r="H15" s="4" t="n"/>
      <c r="I15" s="4" t="n"/>
    </row>
    <row r="16">
      <c r="B16" s="25" t="n">
        <v>211052353</v>
      </c>
      <c r="C16" s="15" t="inlineStr">
        <is>
          <t>DBI</t>
        </is>
      </c>
      <c r="D16" s="22" t="n">
        <v>87</v>
      </c>
      <c r="E16" s="4" t="n"/>
      <c r="F16" s="4" t="n"/>
      <c r="G16" s="4" t="n"/>
      <c r="H16" s="4" t="n"/>
      <c r="I16" s="4" t="n"/>
    </row>
    <row r="17">
      <c r="B17" s="25" t="n">
        <v>211052354</v>
      </c>
      <c r="C17" s="15" t="inlineStr">
        <is>
          <t>MAT</t>
        </is>
      </c>
      <c r="D17" s="22" t="n">
        <v>80</v>
      </c>
      <c r="E17" s="4" t="n"/>
      <c r="F17" s="4" t="n"/>
      <c r="G17" s="4" t="n"/>
      <c r="H17" s="4" t="n"/>
      <c r="I17" s="4" t="n"/>
    </row>
    <row r="18">
      <c r="B18" s="25" t="n">
        <v>211052354</v>
      </c>
      <c r="C18" s="15" t="inlineStr">
        <is>
          <t>BWL</t>
        </is>
      </c>
      <c r="D18" s="22" t="n">
        <v>35</v>
      </c>
      <c r="E18" s="4" t="n"/>
      <c r="F18" s="4" t="n"/>
      <c r="G18" s="4" t="n"/>
      <c r="H18" s="4" t="n"/>
      <c r="I18" s="4" t="n"/>
    </row>
    <row r="19">
      <c r="B19" s="25" t="n">
        <v>211052355</v>
      </c>
      <c r="C19" s="15" t="inlineStr">
        <is>
          <t>PHY</t>
        </is>
      </c>
      <c r="D19" s="22" t="n">
        <v>87</v>
      </c>
      <c r="E19" s="4" t="n"/>
      <c r="F19" s="4" t="n"/>
      <c r="G19" s="4" t="n"/>
      <c r="H19" s="4" t="n"/>
      <c r="I19" s="4" t="n"/>
    </row>
    <row r="20">
      <c r="B20" s="25" t="n">
        <v>211052355</v>
      </c>
      <c r="C20" s="15" t="inlineStr">
        <is>
          <t>INF</t>
        </is>
      </c>
      <c r="D20" s="22" t="n">
        <v>43</v>
      </c>
      <c r="E20" s="4" t="n"/>
      <c r="F20" s="4" t="n"/>
      <c r="G20" s="4" t="n"/>
      <c r="H20" s="4" t="n"/>
      <c r="I20" s="4" t="n"/>
    </row>
    <row r="21">
      <c r="B21" s="25" t="n">
        <v>211052356</v>
      </c>
      <c r="C21" s="15" t="inlineStr">
        <is>
          <t>MAT</t>
        </is>
      </c>
      <c r="D21" s="22" t="n">
        <v>77</v>
      </c>
      <c r="E21" s="4" t="n"/>
      <c r="F21" s="4" t="n"/>
      <c r="G21" s="4" t="n"/>
      <c r="H21" s="4" t="n"/>
      <c r="I21" s="4" t="n"/>
    </row>
    <row r="22">
      <c r="B22" s="25" t="n">
        <v>211052356</v>
      </c>
      <c r="C22" s="15" t="inlineStr">
        <is>
          <t>PHY</t>
        </is>
      </c>
      <c r="D22" s="22" t="n">
        <v>70</v>
      </c>
      <c r="E22" s="4" t="n"/>
      <c r="F22" s="4" t="n"/>
      <c r="G22" s="4" t="n"/>
      <c r="H22" s="4" t="n"/>
      <c r="I22" s="4" t="n"/>
    </row>
    <row r="23">
      <c r="B23" s="25" t="n">
        <v>211052357</v>
      </c>
      <c r="C23" s="15" t="inlineStr">
        <is>
          <t>PHY</t>
        </is>
      </c>
      <c r="D23" s="22" t="n">
        <v>69</v>
      </c>
      <c r="E23" s="4" t="n"/>
      <c r="F23" s="4" t="n"/>
      <c r="G23" s="4" t="n"/>
      <c r="H23" s="4" t="n"/>
      <c r="I23" s="4" t="n"/>
    </row>
    <row r="24">
      <c r="B24" s="25" t="n">
        <v>211052357</v>
      </c>
      <c r="C24" s="15" t="inlineStr">
        <is>
          <t>MAT</t>
        </is>
      </c>
      <c r="D24" s="22" t="n">
        <v>82</v>
      </c>
      <c r="E24" s="4" t="n"/>
      <c r="F24" s="4" t="n"/>
      <c r="G24" s="4" t="n"/>
      <c r="H24" s="4" t="n"/>
      <c r="I24" s="4" t="n"/>
    </row>
    <row r="25">
      <c r="B25" s="25" t="n">
        <v>211052358</v>
      </c>
      <c r="C25" s="15" t="inlineStr">
        <is>
          <t>INF</t>
        </is>
      </c>
      <c r="D25" s="22" t="n">
        <v>100</v>
      </c>
      <c r="E25" s="4" t="n"/>
      <c r="F25" s="4" t="n"/>
      <c r="G25" s="4" t="n"/>
      <c r="H25" s="4" t="n"/>
      <c r="I25" s="4" t="n"/>
    </row>
    <row r="26">
      <c r="B26" s="25" t="n">
        <v>211052358</v>
      </c>
      <c r="C26" s="15" t="inlineStr">
        <is>
          <t>PHY</t>
        </is>
      </c>
      <c r="D26" s="22" t="n">
        <v>55</v>
      </c>
      <c r="E26" s="4" t="n"/>
      <c r="F26" s="4" t="n"/>
      <c r="G26" s="4" t="n"/>
      <c r="H26" s="4" t="n"/>
      <c r="I26" s="4" t="n"/>
    </row>
    <row r="28" ht="30" customHeight="1">
      <c r="B28" s="20" t="inlineStr">
        <is>
          <t>Aufgabe 1:  Zum Abschluss: Wie viele der 20 Prüfungen wurden bestanden? Zähle sie mit ZÄHLENWENN in deiner eigenen Spalte bestanden?.</t>
        </is>
      </c>
    </row>
    <row r="29">
      <c r="B29" s="21" t="inlineStr">
        <is>
          <t>Anzahl bestanden</t>
        </is>
      </c>
      <c r="D29" s="17" t="n"/>
      <c r="F29" s="18">
        <f>IF(D29="","Kontrolle",IF(AND(_xlfn.ISFORMULA(D29),D29=18),"OK - richtig",IF(D29=18,"Ergebnis stimmt - bitte als Formel eingeben!","noch nicht richtig")))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/>
  </sheetPr>
  <dimension ref="B1:D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6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6" t="inlineStr">
        <is>
          <t>1 Basis</t>
        </is>
      </c>
      <c r="C5" s="13" t="inlineStr">
        <is>
          <t>Summe Gebühren</t>
        </is>
      </c>
      <c r="D5" s="27" t="inlineStr">
        <is>
          <t>=SUMME(Studenten!F4:F63)   -&gt;  27.014</t>
        </is>
      </c>
    </row>
    <row r="6" ht="13" customHeight="1">
      <c r="B6" s="26" t="inlineStr"/>
      <c r="C6" s="13" t="inlineStr">
        <is>
          <t>Anzahl Studierende</t>
        </is>
      </c>
      <c r="D6" s="27" t="inlineStr">
        <is>
          <t>=ANZAHL(Studenten!B4:B63)   -&gt;  60</t>
        </is>
      </c>
    </row>
    <row r="7" ht="13" customHeight="1">
      <c r="B7" s="26" t="inlineStr"/>
      <c r="C7" s="13" t="inlineStr">
        <is>
          <t>Anzahl nicht leer</t>
        </is>
      </c>
      <c r="D7" s="27" t="inlineStr">
        <is>
          <t>=ANZAHL2(Studenten!D4:D63)   -&gt;  60</t>
        </is>
      </c>
    </row>
    <row r="8" ht="13" customHeight="1">
      <c r="B8" s="26" t="inlineStr"/>
      <c r="C8" s="13" t="inlineStr">
        <is>
          <t>Nicht bezahlt</t>
        </is>
      </c>
      <c r="D8" s="27" t="inlineStr">
        <is>
          <t>=ANZAHLLEERZELLEN(Studenten!F4:F63)   -&gt;  4</t>
        </is>
      </c>
    </row>
    <row r="9" ht="13" customHeight="1">
      <c r="B9" s="26" t="inlineStr"/>
      <c r="C9" s="13" t="inlineStr">
        <is>
          <t>Mittelwert Punkte</t>
        </is>
      </c>
      <c r="D9" s="27" t="inlineStr">
        <is>
          <t>=MITTELWERT(Noten!D4:D123)   -&gt;  65.96</t>
        </is>
      </c>
    </row>
    <row r="10" ht="13" customHeight="1">
      <c r="B10" s="26" t="inlineStr">
        <is>
          <t>2 MinMax+Rang</t>
        </is>
      </c>
      <c r="C10" s="13" t="inlineStr">
        <is>
          <t>MAX / MIN</t>
        </is>
      </c>
      <c r="D10" s="27" t="inlineStr">
        <is>
          <t>=MAX(Noten!D4:D123) = 100   |   =MIN(...) = 28</t>
        </is>
      </c>
    </row>
    <row r="11" ht="13" customHeight="1">
      <c r="B11" s="26" t="inlineStr"/>
      <c r="C11" s="13" t="inlineStr">
        <is>
          <t>KGRÖSSTE / KKLEINSTE</t>
        </is>
      </c>
      <c r="D11" s="27" t="inlineStr">
        <is>
          <t>=KGRÖSSTE(Noten!D4:D123;3) = 99   |   =KKLEINSTE(...;2) = 28</t>
        </is>
      </c>
    </row>
    <row r="12" ht="13" customHeight="1">
      <c r="B12" s="26" t="inlineStr"/>
      <c r="C12" s="13" t="inlineStr">
        <is>
          <t>RANG</t>
        </is>
      </c>
      <c r="D12" s="27" t="inlineStr">
        <is>
          <t>=RANG(96;Noten!D4:D123;0)   -&gt;  9</t>
        </is>
      </c>
    </row>
    <row r="13" ht="13" customHeight="1">
      <c r="B13" s="26" t="inlineStr">
        <is>
          <t>3 Verweise</t>
        </is>
      </c>
      <c r="C13" s="13" t="inlineStr">
        <is>
          <t>SVERWEIS exakt</t>
        </is>
      </c>
      <c r="D13" s="27" t="inlineStr">
        <is>
          <t>=SVERWEIS(211052366;Studenten!$B$4:$F$63;3;FALSCH)   -&gt;  Vita</t>
        </is>
      </c>
    </row>
    <row r="14" ht="13" customHeight="1">
      <c r="B14" s="26" t="inlineStr"/>
      <c r="C14" s="13" t="inlineStr">
        <is>
          <t>SVERWEIS Näherung</t>
        </is>
      </c>
      <c r="D14" s="27" t="inlineStr">
        <is>
          <t>=SVERWEIS(71;Notenschlüssel!$B$4:$D$8;2;WAHR)   -&gt;  Note 3</t>
        </is>
      </c>
    </row>
    <row r="15" ht="13" customHeight="1">
      <c r="B15" s="26" t="inlineStr"/>
      <c r="C15" s="13" t="inlineStr">
        <is>
          <t>WVERWEIS</t>
        </is>
      </c>
      <c r="D15" s="27" t="inlineStr">
        <is>
          <t>=WVERWEIS("Q3";C..:F..;2;FALSCH)   -&gt;  948.526</t>
        </is>
      </c>
    </row>
    <row r="16" ht="13" customHeight="1">
      <c r="B16" s="26" t="inlineStr"/>
      <c r="C16" s="13" t="inlineStr">
        <is>
          <t>XVERWEIS nach links</t>
        </is>
      </c>
      <c r="D16" s="27" t="inlineStr">
        <is>
          <t>=XVERWEIS("Vita";Studenten!$D$4:$D$63;Studenten!$B$4:$B$63)</t>
        </is>
      </c>
    </row>
    <row r="17" ht="13" customHeight="1">
      <c r="B17" s="26" t="inlineStr"/>
      <c r="C17" s="13" t="inlineStr">
        <is>
          <t>XVERWEIS mit Fallback</t>
        </is>
      </c>
      <c r="D17" s="27" t="inlineStr">
        <is>
          <t>=XVERWEIS("Mustermann";Studenten!$D$..:$D$..;Studenten!$B$..:$B$..;"nicht gefunden";0)</t>
        </is>
      </c>
    </row>
    <row r="18" ht="13" customHeight="1">
      <c r="B18" s="26" t="inlineStr">
        <is>
          <t>4 INDEX+VERGLEICH</t>
        </is>
      </c>
      <c r="C18" s="13" t="inlineStr">
        <is>
          <t>VERGLEICH</t>
        </is>
      </c>
      <c r="D18" s="27" t="inlineStr">
        <is>
          <t>=VERGLEICH("Himbert";Studenten!$D$4:$D$63;0)   -&gt;  26</t>
        </is>
      </c>
    </row>
    <row r="19" ht="13" customHeight="1">
      <c r="B19" s="26" t="inlineStr"/>
      <c r="C19" s="13" t="inlineStr">
        <is>
          <t>INDEX</t>
        </is>
      </c>
      <c r="D19" s="27" t="inlineStr">
        <is>
          <t>=INDEX(Studenten!$C$4:$C$63;26)   -&gt;  Erna</t>
        </is>
      </c>
    </row>
    <row r="20" ht="13" customHeight="1">
      <c r="B20" s="26" t="inlineStr"/>
      <c r="C20" s="13" t="inlineStr">
        <is>
          <t>Kombination</t>
        </is>
      </c>
      <c r="D20" s="27" t="inlineStr">
        <is>
          <t>=INDEX(Studenten!$B$4:$B$63;VERGLEICH("Himbert";Studenten!$D$4:$D$63;0))</t>
        </is>
      </c>
    </row>
    <row r="21" ht="13" customHeight="1">
      <c r="B21" s="26" t="inlineStr">
        <is>
          <t>5 INDIREKT</t>
        </is>
      </c>
      <c r="C21" s="13" t="inlineStr">
        <is>
          <t>Namen vergeben</t>
        </is>
      </c>
      <c r="D21" s="27" t="inlineStr">
        <is>
          <t>Bereich markieren - Adressdropdownbox - Punkte_2021 bzw. Punkte_2022</t>
        </is>
      </c>
    </row>
    <row r="22" ht="13" customHeight="1">
      <c r="B22" s="26" t="inlineStr"/>
      <c r="C22" s="13" t="inlineStr">
        <is>
          <t>Dynamische Summe</t>
        </is>
      </c>
      <c r="D22" s="27" t="inlineStr">
        <is>
          <t>=SUMME(INDIREKT("Punkte_"&amp;$C$&lt;Jahr&gt;))</t>
        </is>
      </c>
    </row>
    <row r="23" ht="13" customHeight="1">
      <c r="B23" s="26" t="inlineStr"/>
      <c r="C23" s="13" t="inlineStr">
        <is>
          <t>Dynamischer Mittelwert</t>
        </is>
      </c>
      <c r="D23" s="27" t="inlineStr">
        <is>
          <t>=MITTELWERT(INDIREKT("Punkte_"&amp;$C$&lt;Jahr&gt;))</t>
        </is>
      </c>
    </row>
    <row r="24" ht="13" customHeight="1">
      <c r="B24" s="26" t="inlineStr"/>
      <c r="C24" s="13" t="inlineStr">
        <is>
          <t>Einzelne Zelle</t>
        </is>
      </c>
      <c r="D24" s="27" t="inlineStr">
        <is>
          <t>=INDIREKT("Studenten!B"&amp;4)   -&gt;  211052349</t>
        </is>
      </c>
    </row>
    <row r="25" ht="13" customHeight="1">
      <c r="B25" s="26" t="inlineStr">
        <is>
          <t>6 WENN-Familie</t>
        </is>
      </c>
      <c r="C25" s="13" t="inlineStr">
        <is>
          <t>SUMMEWENN</t>
        </is>
      </c>
      <c r="D25" s="27" t="inlineStr">
        <is>
          <t>=SUMMEWENN(Studenten!E4:E63;"BA WING";Studenten!F4:F63)   -&gt;  7340</t>
        </is>
      </c>
    </row>
    <row r="26" ht="13" customHeight="1">
      <c r="B26" s="26" t="inlineStr"/>
      <c r="C26" s="13" t="inlineStr">
        <is>
          <t>MITTELWERTWENN</t>
        </is>
      </c>
      <c r="D26" s="27" t="inlineStr">
        <is>
          <t>=MITTELWERTWENN(Noten!C4:C123;"DBI";Noten!D4:D123)   -&gt;  64.67</t>
        </is>
      </c>
    </row>
    <row r="27" ht="13" customHeight="1">
      <c r="B27" s="26" t="inlineStr"/>
      <c r="C27" s="13" t="inlineStr">
        <is>
          <t>ZÄHLENWENN</t>
        </is>
      </c>
      <c r="D27" s="27" t="inlineStr">
        <is>
          <t>=ZÄHLENWENN(Studenten!E4:E63;"MA WING") = 20   |   =ZÄHLENWENN(Noten!D..;"&gt;80") = 40</t>
        </is>
      </c>
    </row>
    <row r="28" ht="13" customHeight="1">
      <c r="B28" s="26" t="inlineStr"/>
      <c r="C28" s="13" t="inlineStr">
        <is>
          <t>MAXWENNS / MINWENNS</t>
        </is>
      </c>
      <c r="D28" s="27" t="inlineStr">
        <is>
          <t>=MAXWENNS(Noten!D4:D123;Noten!C4:C123;"MAT") = 100   |   MINWENNS analog = 28</t>
        </is>
      </c>
    </row>
    <row r="29" ht="13" customHeight="1">
      <c r="B29" s="26" t="inlineStr">
        <is>
          <t>7 WENN+Fehler</t>
        </is>
      </c>
      <c r="C29" s="13" t="inlineStr">
        <is>
          <t>WENN</t>
        </is>
      </c>
      <c r="D29" s="27" t="inlineStr">
        <is>
          <t>=WENN(B&lt;Zeile&gt;&gt;=51;"bestanden";"nicht bestanden")</t>
        </is>
      </c>
    </row>
    <row r="30" ht="13" customHeight="1">
      <c r="B30" s="26" t="inlineStr"/>
      <c r="C30" s="13" t="inlineStr">
        <is>
          <t>WENN mit UND</t>
        </is>
      </c>
      <c r="D30" s="27" t="inlineStr">
        <is>
          <t>=WENN(UND(B&lt;Zeile&gt;&gt;=88;D&lt;Zeile&gt;="ja");"ja";"nein")</t>
        </is>
      </c>
    </row>
    <row r="31" ht="13" customHeight="1">
      <c r="B31" s="26" t="inlineStr"/>
      <c r="C31" s="13" t="inlineStr">
        <is>
          <t>WENNFEHLER</t>
        </is>
      </c>
      <c r="D31" s="27" t="inlineStr">
        <is>
          <t>=WENNFEHLER(100/B21;"keine Prüfungen")</t>
        </is>
      </c>
    </row>
    <row r="32" ht="13" customHeight="1">
      <c r="B32" s="26" t="inlineStr"/>
      <c r="C32" s="13" t="inlineStr">
        <is>
          <t>WENNNV</t>
        </is>
      </c>
      <c r="D32" s="27" t="inlineStr">
        <is>
          <t>=WENNNV(SVERWEIS(999999999;Studenten!$B$4:$F$63;3;FALSCH);"unbekannt")</t>
        </is>
      </c>
    </row>
    <row r="33" ht="13" customHeight="1">
      <c r="B33" s="26" t="inlineStr">
        <is>
          <t>8 Praxisfall</t>
        </is>
      </c>
      <c r="C33" s="13" t="inlineStr">
        <is>
          <t>Nachname</t>
        </is>
      </c>
      <c r="D33" s="27" t="inlineStr">
        <is>
          <t>=SVERWEIS($B7;Studenten!$B$4:$F$63;3;FALSCH)</t>
        </is>
      </c>
    </row>
    <row r="34" ht="13" customHeight="1">
      <c r="B34" s="26" t="inlineStr"/>
      <c r="C34" s="13" t="inlineStr">
        <is>
          <t>Note</t>
        </is>
      </c>
      <c r="D34" s="27" t="inlineStr">
        <is>
          <t>=SVERWEIS($D7;Notenschlüssel!$B$4:$D$8;2;WAHR)</t>
        </is>
      </c>
    </row>
    <row r="35" ht="13" customHeight="1">
      <c r="B35" s="26" t="inlineStr"/>
      <c r="C35" s="13" t="inlineStr">
        <is>
          <t>Prädikat</t>
        </is>
      </c>
      <c r="D35" s="27" t="inlineStr">
        <is>
          <t>=SVERWEIS($D7;Notenschlüssel!$B$4:$D$8;3;WAHR)</t>
        </is>
      </c>
    </row>
    <row r="36" ht="13" customHeight="1">
      <c r="B36" s="26" t="inlineStr"/>
      <c r="C36" s="13" t="inlineStr">
        <is>
          <t>Rang</t>
        </is>
      </c>
      <c r="D36" s="27" t="inlineStr">
        <is>
          <t>=RANG($D7;Noten!$D$4:$D$123;0)</t>
        </is>
      </c>
    </row>
    <row r="37" ht="13" customHeight="1">
      <c r="B37" s="26" t="inlineStr"/>
      <c r="C37" s="13" t="inlineStr">
        <is>
          <t>bestanden?</t>
        </is>
      </c>
      <c r="D37" s="27" t="inlineStr">
        <is>
          <t>=WENN($D7&gt;=51;"ja";"nein")</t>
        </is>
      </c>
    </row>
    <row r="38" ht="13" customHeight="1">
      <c r="B38" s="26" t="inlineStr"/>
      <c r="C38" s="13" t="inlineStr">
        <is>
          <t>Anzahl bestanden</t>
        </is>
      </c>
      <c r="D38" s="27" t="inlineStr">
        <is>
          <t>=ZÄHLENWENN(I7:I26;"ja")   -&gt; 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2026-08-21T07:49:07Z</dcterms:created>
  <dcterms:modified xsi:type="dcterms:W3CDTF">2026-08-21T07:49:07Z</dcterms:modified>
</cp:coreProperties>
</file>