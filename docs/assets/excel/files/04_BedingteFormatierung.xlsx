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1 Vorlagen" sheetId="2" state="visible" r:id="rId2"/>
    <sheet name="2 Regelvorlagen" sheetId="3" state="visible" r:id="rId3"/>
    <sheet name="3 Farbskala" sheetId="4" state="visible" r:id="rId4"/>
    <sheet name="4 Eigene Regeln" sheetId="5" state="visible" r:id="rId5"/>
    <sheet name="5 Regeln verwalten" sheetId="6" state="visible" r:id="rId6"/>
    <sheet name="6 Stundenzettel" sheetId="7" state="visible" r:id="rId7"/>
    <sheet name="Lösung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D"/>
    <numFmt numFmtId="166" formatCode="DD.MM.YYYY"/>
    <numFmt numFmtId="167" formatCode="HH:MM"/>
  </numFmts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sz val="11"/>
    </font>
    <font>
      <b val="1"/>
      <color rgb="002E75B6"/>
      <sz val="12"/>
    </font>
    <font>
      <b val="1"/>
      <color rgb="00FFFFFF"/>
      <sz val="11"/>
    </font>
    <font>
      <b val="1"/>
    </font>
    <font>
      <i val="1"/>
      <color rgb="00595959"/>
      <sz val="10"/>
    </font>
    <font>
      <b val="1"/>
      <sz val="11"/>
    </font>
    <font>
      <color rgb="00375623"/>
      <sz val="10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7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8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applyAlignment="1" pivotButton="0" quotePrefix="0" xfId="0">
      <alignment vertical="top" wrapText="1"/>
    </xf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3" fontId="0" fillId="3" borderId="2" pivotButton="0" quotePrefix="0" xfId="0"/>
    <xf numFmtId="0" fontId="7" fillId="0" borderId="0" applyAlignment="1" pivotButton="0" quotePrefix="0" xfId="0">
      <alignment vertical="top" wrapText="1"/>
    </xf>
    <xf numFmtId="0" fontId="0" fillId="0" borderId="2" pivotButton="0" quotePrefix="0" xfId="0"/>
    <xf numFmtId="4" fontId="0" fillId="2" borderId="1" pivotButton="0" quotePrefix="0" xfId="0"/>
    <xf numFmtId="0" fontId="8" fillId="0" borderId="0" pivotButton="0" quotePrefix="0" xfId="0"/>
    <xf numFmtId="3" fontId="0" fillId="2" borderId="1" pivotButton="0" quotePrefix="0" xfId="0"/>
    <xf numFmtId="1" fontId="0" fillId="2" borderId="1" pivotButton="0" quotePrefix="0" xfId="0"/>
    <xf numFmtId="1" fontId="0" fillId="3" borderId="2" pivotButton="0" quotePrefix="0" xfId="0"/>
    <xf numFmtId="0" fontId="0" fillId="3" borderId="2" pivotButton="0" quotePrefix="0" xfId="0"/>
    <xf numFmtId="165" fontId="0" fillId="3" borderId="2" pivotButton="0" quotePrefix="0" xfId="0"/>
    <xf numFmtId="166" fontId="0" fillId="3" borderId="2" pivotButton="0" quotePrefix="0" xfId="0"/>
    <xf numFmtId="167" fontId="0" fillId="2" borderId="1" pivotButton="0" quotePrefix="0" xfId="0"/>
    <xf numFmtId="167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vertical="top"/>
    </xf>
    <xf numFmtId="0" fontId="9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C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  <col width="80" customWidth="1" min="3" max="3"/>
  </cols>
  <sheetData>
    <row r="1" ht="22" customHeight="1">
      <c r="B1" s="1" t="inlineStr">
        <is>
          <t>Übung 04_BedingteFormatierung.xlsx  -  Bedingte Formatierung</t>
        </is>
      </c>
    </row>
    <row r="4" ht="56" customHeight="1">
      <c r="B4" s="2" t="inlineStr">
        <is>
          <t>Bedingte Formatierungen kann Excel nicht selbst prüfen - deshalb steht neben jeder Formatierungsaufgabe eine Verständnisfrage, die du mit einer Formel beantwortest. Wenn deine Zahl stimmt, hast du auch die richtige Schwelle für die Regel erwischt.</t>
        </is>
      </c>
    </row>
    <row r="6">
      <c r="B6" s="3" t="inlineStr">
        <is>
          <t>So arbeitest du mit der Datei</t>
        </is>
      </c>
    </row>
    <row r="7" ht="14" customHeight="1">
      <c r="B7" s="2" t="inlineStr">
        <is>
          <t>1.  Lies die Aufgabe in Spalte B.</t>
        </is>
      </c>
    </row>
    <row r="8" ht="14" customHeight="1">
      <c r="B8" s="2" t="inlineStr">
        <is>
          <t>2.  Trage deine Lösung in die gelb hinterlegte Zelle ein.</t>
        </is>
      </c>
    </row>
    <row r="9" ht="28" customHeight="1">
      <c r="B9" s="2" t="inlineStr">
        <is>
          <t>3.  Wo eine Kontrollspalte steht, prüft sie deine Eingabe automatisch.</t>
        </is>
      </c>
    </row>
    <row r="10" ht="42" customHeight="1">
      <c r="B10" s="2" t="inlineStr">
        <is>
          <t>4.  Aufgaben zu Formatierung, Ansicht oder Schutz kann Excel nicht selbst prüfen - dort siehst du das Ergebnis direkt am Bildschirm bzw. vergleichst mit dem Zielbild.</t>
        </is>
      </c>
    </row>
    <row r="11" ht="28" customHeight="1">
      <c r="B11" s="2" t="inlineStr">
        <is>
          <t>5.  Kommst du nicht weiter: das Arbeitsblatt "Lösungen" ganz rechts zeigt den Weg.</t>
        </is>
      </c>
    </row>
    <row r="13">
      <c r="B13" s="3" t="inlineStr">
        <is>
          <t>Legende</t>
        </is>
      </c>
    </row>
    <row r="14">
      <c r="B14" s="4" t="inlineStr"/>
      <c r="C14" s="5" t="inlineStr">
        <is>
          <t>Hier bist du dran - Wert, Formel oder Formatierung eintragen</t>
        </is>
      </c>
    </row>
    <row r="15">
      <c r="B15" s="6" t="inlineStr"/>
      <c r="C15" s="5" t="inlineStr">
        <is>
          <t>Vorgegebene Daten - nicht verändern</t>
        </is>
      </c>
    </row>
    <row r="16">
      <c r="B16" s="7" t="inlineStr"/>
      <c r="C16" s="5" t="inlineStr">
        <is>
          <t>Startpunkt / Quelle einer Aktion</t>
        </is>
      </c>
    </row>
    <row r="17">
      <c r="B17" s="8" t="inlineStr"/>
      <c r="C17" s="5" t="inlineStr">
        <is>
          <t>Zielbereich einer Aktion</t>
        </is>
      </c>
    </row>
    <row r="18">
      <c r="B18" s="9" t="inlineStr"/>
      <c r="C18" s="5" t="inlineStr">
        <is>
          <t>Markierung für Struktur-Übungen (Zeilen, Spalten, Blätter)</t>
        </is>
      </c>
    </row>
    <row r="19">
      <c r="B19" s="10" t="inlineStr"/>
      <c r="C19" s="5" t="inlineStr">
        <is>
          <t>Dieser Bereich soll gelöscht oder korrigiert werden</t>
        </is>
      </c>
    </row>
    <row r="21">
      <c r="B21" s="3" t="inlineStr">
        <is>
          <t>Inhalt der Übung</t>
        </is>
      </c>
    </row>
    <row r="22">
      <c r="B22" s="11" t="inlineStr">
        <is>
          <t>Arbeitsblatt</t>
        </is>
      </c>
      <c r="C22" s="11" t="inlineStr">
        <is>
          <t>Inhalt</t>
        </is>
      </c>
    </row>
    <row r="23">
      <c r="B23" s="12" t="inlineStr">
        <is>
          <t>1 Vorlagen</t>
        </is>
      </c>
      <c r="C23" s="13" t="inlineStr">
        <is>
          <t>Datenbalken, Farbskalen und Symbolsätze anwenden</t>
        </is>
      </c>
    </row>
    <row r="24">
      <c r="B24" s="12" t="inlineStr">
        <is>
          <t>2 Regelvorlagen</t>
        </is>
      </c>
      <c r="C24" s="13" t="inlineStr">
        <is>
          <t>Zellen hervorheben, obere und untere Werte</t>
        </is>
      </c>
    </row>
    <row r="25">
      <c r="B25" s="12" t="inlineStr">
        <is>
          <t>3 Farbskala</t>
        </is>
      </c>
      <c r="C25" s="13" t="inlineStr">
        <is>
          <t>Dreifarbige Skala mit eigenem Mittelwert</t>
        </is>
      </c>
    </row>
    <row r="26">
      <c r="B26" s="12" t="inlineStr">
        <is>
          <t>4 Eigene Regeln</t>
        </is>
      </c>
      <c r="C26" s="13" t="inlineStr">
        <is>
          <t>Formeln als Regel - ganze Zeilen einfärben</t>
        </is>
      </c>
    </row>
    <row r="27">
      <c r="B27" s="12" t="inlineStr">
        <is>
          <t>5 Regeln verwalten</t>
        </is>
      </c>
      <c r="C27" s="13" t="inlineStr">
        <is>
          <t>Reihenfolge, Bearbeiten, Löschen, Übertragen</t>
        </is>
      </c>
    </row>
    <row r="28">
      <c r="B28" s="12" t="inlineStr">
        <is>
          <t>6 Stundenzettel</t>
        </is>
      </c>
      <c r="C28" s="13" t="inlineStr">
        <is>
          <t>Praxisfall: Wochenenden, Wochenwechsel, fehlende Einträge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1:M28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0" customWidth="1" min="12" max="12"/>
    <col width="44" customWidth="1" min="13" max="13"/>
  </cols>
  <sheetData>
    <row r="1" ht="22" customHeight="1">
      <c r="B1" s="1" t="inlineStr">
        <is>
          <t>1  Vorlagen: Datenbalken, Farbskalen, Symbolsätze</t>
        </is>
      </c>
    </row>
    <row r="2">
      <c r="B2" s="14" t="inlineStr">
        <is>
          <t>Kapitel: Bedingte Formatierung - Vorlagen</t>
        </is>
      </c>
    </row>
    <row r="4" ht="42" customHeight="1">
      <c r="B4" s="15" t="inlineStr">
        <is>
          <t>Der Datenblock zeigt Produktionsmengen. Wende nacheinander die drei Vorlagentypen an und beobachte, wie unterschiedlich dieselben Zahlen wirken.</t>
        </is>
      </c>
    </row>
    <row r="6">
      <c r="C6" s="11" t="inlineStr">
        <is>
          <t>KW 1</t>
        </is>
      </c>
      <c r="D6" s="11" t="inlineStr">
        <is>
          <t>KW 2</t>
        </is>
      </c>
      <c r="E6" s="11" t="inlineStr">
        <is>
          <t>KW 3</t>
        </is>
      </c>
      <c r="F6" s="11" t="inlineStr">
        <is>
          <t>KW 4</t>
        </is>
      </c>
      <c r="G6" s="11" t="inlineStr">
        <is>
          <t>KW 5</t>
        </is>
      </c>
      <c r="H6" s="11" t="inlineStr">
        <is>
          <t>KW 6</t>
        </is>
      </c>
      <c r="I6" s="11" t="inlineStr">
        <is>
          <t>KW 7</t>
        </is>
      </c>
      <c r="J6" s="11" t="inlineStr">
        <is>
          <t>KW 8</t>
        </is>
      </c>
    </row>
    <row r="7">
      <c r="B7" s="16" t="inlineStr">
        <is>
          <t>Maschine 1</t>
        </is>
      </c>
      <c r="C7" s="17" t="n">
        <v>21</v>
      </c>
      <c r="D7" s="17" t="n">
        <v>34</v>
      </c>
      <c r="E7" s="17" t="n">
        <v>47</v>
      </c>
      <c r="F7" s="17" t="n">
        <v>60</v>
      </c>
      <c r="G7" s="17" t="n">
        <v>73</v>
      </c>
      <c r="H7" s="17" t="n">
        <v>86</v>
      </c>
      <c r="I7" s="17" t="n">
        <v>99</v>
      </c>
      <c r="J7" s="17" t="n">
        <v>112</v>
      </c>
    </row>
    <row r="8">
      <c r="B8" s="16" t="inlineStr">
        <is>
          <t>Maschine 2</t>
        </is>
      </c>
      <c r="C8" s="17" t="n">
        <v>23</v>
      </c>
      <c r="D8" s="17" t="n">
        <v>36</v>
      </c>
      <c r="E8" s="17" t="n">
        <v>49</v>
      </c>
      <c r="F8" s="17" t="n">
        <v>62</v>
      </c>
      <c r="G8" s="17" t="n">
        <v>75</v>
      </c>
      <c r="H8" s="17" t="n">
        <v>88</v>
      </c>
      <c r="I8" s="17" t="n">
        <v>101</v>
      </c>
      <c r="J8" s="17" t="n">
        <v>114</v>
      </c>
    </row>
    <row r="9">
      <c r="B9" s="16" t="inlineStr">
        <is>
          <t>Maschine 3</t>
        </is>
      </c>
      <c r="C9" s="17" t="n">
        <v>25</v>
      </c>
      <c r="D9" s="17" t="n">
        <v>38</v>
      </c>
      <c r="E9" s="17" t="n">
        <v>51</v>
      </c>
      <c r="F9" s="17" t="n">
        <v>64</v>
      </c>
      <c r="G9" s="17" t="n">
        <v>77</v>
      </c>
      <c r="H9" s="17" t="n">
        <v>90</v>
      </c>
      <c r="I9" s="17" t="n">
        <v>103</v>
      </c>
      <c r="J9" s="17" t="n">
        <v>116</v>
      </c>
    </row>
    <row r="10">
      <c r="B10" s="16" t="inlineStr">
        <is>
          <t>Maschine 4</t>
        </is>
      </c>
      <c r="C10" s="17" t="n">
        <v>27</v>
      </c>
      <c r="D10" s="17" t="n">
        <v>40</v>
      </c>
      <c r="E10" s="17" t="n">
        <v>53</v>
      </c>
      <c r="F10" s="17" t="n">
        <v>66</v>
      </c>
      <c r="G10" s="17" t="n">
        <v>79</v>
      </c>
      <c r="H10" s="17" t="n">
        <v>92</v>
      </c>
      <c r="I10" s="17" t="n">
        <v>105</v>
      </c>
      <c r="J10" s="17" t="n">
        <v>118</v>
      </c>
    </row>
    <row r="11">
      <c r="B11" s="16" t="inlineStr">
        <is>
          <t>Maschine 5</t>
        </is>
      </c>
      <c r="C11" s="17" t="n">
        <v>29</v>
      </c>
      <c r="D11" s="17" t="n">
        <v>42</v>
      </c>
      <c r="E11" s="17" t="n">
        <v>55</v>
      </c>
      <c r="F11" s="17" t="n">
        <v>68</v>
      </c>
      <c r="G11" s="17" t="n">
        <v>81</v>
      </c>
      <c r="H11" s="17" t="n">
        <v>94</v>
      </c>
      <c r="I11" s="17" t="n">
        <v>107</v>
      </c>
      <c r="J11" s="17" t="n">
        <v>120</v>
      </c>
    </row>
    <row r="12">
      <c r="B12" s="16" t="inlineStr">
        <is>
          <t>Maschine 6</t>
        </is>
      </c>
      <c r="C12" s="17" t="n">
        <v>31</v>
      </c>
      <c r="D12" s="17" t="n">
        <v>44</v>
      </c>
      <c r="E12" s="17" t="n">
        <v>57</v>
      </c>
      <c r="F12" s="17" t="n">
        <v>70</v>
      </c>
      <c r="G12" s="17" t="n">
        <v>83</v>
      </c>
      <c r="H12" s="17" t="n">
        <v>96</v>
      </c>
      <c r="I12" s="17" t="n">
        <v>109</v>
      </c>
      <c r="J12" s="17" t="n">
        <v>122</v>
      </c>
    </row>
    <row r="13">
      <c r="B13" s="16" t="inlineStr">
        <is>
          <t>Maschine 7</t>
        </is>
      </c>
      <c r="C13" s="17" t="n">
        <v>33</v>
      </c>
      <c r="D13" s="17" t="n">
        <v>46</v>
      </c>
      <c r="E13" s="17" t="n">
        <v>59</v>
      </c>
      <c r="F13" s="17" t="n">
        <v>72</v>
      </c>
      <c r="G13" s="17" t="n">
        <v>85</v>
      </c>
      <c r="H13" s="17" t="n">
        <v>98</v>
      </c>
      <c r="I13" s="17" t="n">
        <v>111</v>
      </c>
      <c r="J13" s="17" t="n">
        <v>124</v>
      </c>
    </row>
    <row r="14">
      <c r="B14" s="16" t="inlineStr">
        <is>
          <t>Maschine 8</t>
        </is>
      </c>
      <c r="C14" s="17" t="n">
        <v>35</v>
      </c>
      <c r="D14" s="17" t="n">
        <v>48</v>
      </c>
      <c r="E14" s="17" t="n">
        <v>61</v>
      </c>
      <c r="F14" s="17" t="n">
        <v>74</v>
      </c>
      <c r="G14" s="17" t="n">
        <v>87</v>
      </c>
      <c r="H14" s="17" t="n">
        <v>100</v>
      </c>
      <c r="I14" s="17" t="n">
        <v>113</v>
      </c>
      <c r="J14" s="17" t="n">
        <v>126</v>
      </c>
    </row>
    <row r="15">
      <c r="B15" s="16" t="inlineStr">
        <is>
          <t>Maschine 9</t>
        </is>
      </c>
      <c r="C15" s="17" t="n">
        <v>37</v>
      </c>
      <c r="D15" s="17" t="n">
        <v>50</v>
      </c>
      <c r="E15" s="17" t="n">
        <v>63</v>
      </c>
      <c r="F15" s="17" t="n">
        <v>76</v>
      </c>
      <c r="G15" s="17" t="n">
        <v>89</v>
      </c>
      <c r="H15" s="17" t="n">
        <v>102</v>
      </c>
      <c r="I15" s="17" t="n">
        <v>115</v>
      </c>
      <c r="J15" s="17" t="n">
        <v>128</v>
      </c>
    </row>
    <row r="16">
      <c r="B16" s="16" t="inlineStr">
        <is>
          <t>Maschine 10</t>
        </is>
      </c>
      <c r="C16" s="17" t="n">
        <v>39</v>
      </c>
      <c r="D16" s="17" t="n">
        <v>52</v>
      </c>
      <c r="E16" s="17" t="n">
        <v>65</v>
      </c>
      <c r="F16" s="17" t="n">
        <v>78</v>
      </c>
      <c r="G16" s="17" t="n">
        <v>91</v>
      </c>
      <c r="H16" s="17" t="n">
        <v>104</v>
      </c>
      <c r="I16" s="17" t="n">
        <v>117</v>
      </c>
      <c r="J16" s="17" t="n">
        <v>130</v>
      </c>
    </row>
    <row r="17">
      <c r="B17" s="16" t="inlineStr">
        <is>
          <t>Maschine 11</t>
        </is>
      </c>
      <c r="C17" s="17" t="n">
        <v>41</v>
      </c>
      <c r="D17" s="17" t="n">
        <v>54</v>
      </c>
      <c r="E17" s="17" t="n">
        <v>67</v>
      </c>
      <c r="F17" s="17" t="n">
        <v>80</v>
      </c>
      <c r="G17" s="17" t="n">
        <v>93</v>
      </c>
      <c r="H17" s="17" t="n">
        <v>106</v>
      </c>
      <c r="I17" s="17" t="n">
        <v>119</v>
      </c>
      <c r="J17" s="17" t="n">
        <v>132</v>
      </c>
    </row>
    <row r="18">
      <c r="B18" s="16" t="inlineStr">
        <is>
          <t>Maschine 12</t>
        </is>
      </c>
      <c r="C18" s="17" t="n">
        <v>43</v>
      </c>
      <c r="D18" s="17" t="n">
        <v>56</v>
      </c>
      <c r="E18" s="17" t="n">
        <v>69</v>
      </c>
      <c r="F18" s="17" t="n">
        <v>82</v>
      </c>
      <c r="G18" s="17" t="n">
        <v>95</v>
      </c>
      <c r="H18" s="17" t="n">
        <v>108</v>
      </c>
      <c r="I18" s="17" t="n">
        <v>121</v>
      </c>
      <c r="J18" s="17" t="n">
        <v>134</v>
      </c>
    </row>
    <row r="20" ht="45" customHeight="1">
      <c r="B20" s="18" t="inlineStr">
        <is>
          <t>Aufgabe 1:  Lege auf den Datenblock Datenbalken - Blau. Entferne die Regel danach wieder über Bedingte Formatierung - Regeln löschen - Regeln in ausgewählten Zellen löschen.</t>
        </is>
      </c>
    </row>
    <row r="21" ht="14" customHeight="1">
      <c r="B21" s="15" t="inlineStr">
        <is>
          <t>Tipp: Start - Formatvorlagen - Bedingte Formatierung - Datenbalken.</t>
        </is>
      </c>
    </row>
    <row r="22" ht="30" customHeight="1">
      <c r="B22" s="18" t="inlineStr">
        <is>
          <t>Aufgabe 2:  Lege eine dreifarbige Farbskala Rot-Gelb-Grün auf denselben Block. Entferne sie danach wieder.</t>
        </is>
      </c>
    </row>
    <row r="23" ht="15" customHeight="1">
      <c r="B23" s="18" t="inlineStr">
        <is>
          <t>Aufgabe 3:  Lege einen Symbolsatz mit drei Ampeln auf den Block. Lass ihn liegen.</t>
        </is>
      </c>
    </row>
    <row r="25" ht="30" customHeight="1">
      <c r="B25" s="18" t="inlineStr">
        <is>
          <t>Aufgabe 4:  Vorlagen bestimmen Minimum und Maximum automatisch. Rechne beides nach, damit du weißt, worauf sich die Skala bezieht.</t>
        </is>
      </c>
    </row>
    <row r="26">
      <c r="B26" s="19" t="inlineStr">
        <is>
          <t>Minimum des Blocks</t>
        </is>
      </c>
      <c r="L26" s="20" t="n"/>
      <c r="M26" s="21">
        <f>IF(L26="","Kontrolle",IF(AND(_xlfn.ISFORMULA(L26),ABS(L26-21)&lt;0.005),"OK - richtig",IF(ABS(L26-21)&lt;0.005,"Ergebnis stimmt - bitte als Formel eingeben!","noch nicht richtig")))</f>
        <v/>
      </c>
    </row>
    <row r="27">
      <c r="B27" s="19" t="inlineStr">
        <is>
          <t>Maximum des Blocks</t>
        </is>
      </c>
      <c r="L27" s="20" t="n"/>
      <c r="M27" s="21">
        <f>IF(L27="","Kontrolle",IF(AND(_xlfn.ISFORMULA(L27),ABS(L27-134)&lt;0.005),"OK - richtig",IF(ABS(L27-134)&lt;0.005,"Ergebnis stimmt - bitte als Formel eingeben!","noch nicht richtig")))</f>
        <v/>
      </c>
    </row>
    <row r="28">
      <c r="B28" s="19" t="inlineStr">
        <is>
          <t>Mittelwert des Blocks</t>
        </is>
      </c>
      <c r="L28" s="20" t="n"/>
      <c r="M28" s="21">
        <f>IF(L28="","Kontrolle",IF(AND(_xlfn.ISFORMULA(L28),ABS(L28-77.5)&lt;0.005),"OK - richtig",IF(ABS(L28-77.5)&lt;0.005,"Ergebnis stimmt - bitte als Formel eingeben!","noch nicht richtig")))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B1:M3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0" customWidth="1" min="12" max="12"/>
    <col width="46" customWidth="1" min="13" max="13"/>
  </cols>
  <sheetData>
    <row r="1" ht="22" customHeight="1">
      <c r="B1" s="1" t="inlineStr">
        <is>
          <t>2  Regelvorlagen</t>
        </is>
      </c>
    </row>
    <row r="2">
      <c r="B2" s="14" t="inlineStr">
        <is>
          <t>Kapitel: Bedingte Formatierung - Eigene Regeln - Regelvorlagen</t>
        </is>
      </c>
    </row>
    <row r="4" ht="42" customHeight="1">
      <c r="B4" s="15" t="inlineStr">
        <is>
          <t>Wichtig: Die Reihenfolge der Regeln entscheidet! Lege die Regeln in der angegebenen Reihenfolge an - zuerst über 100, dann über 80, dann über 50.</t>
        </is>
      </c>
    </row>
    <row r="6">
      <c r="C6" s="11" t="inlineStr">
        <is>
          <t>KW 1</t>
        </is>
      </c>
      <c r="D6" s="11" t="inlineStr">
        <is>
          <t>KW 2</t>
        </is>
      </c>
      <c r="E6" s="11" t="inlineStr">
        <is>
          <t>KW 3</t>
        </is>
      </c>
      <c r="F6" s="11" t="inlineStr">
        <is>
          <t>KW 4</t>
        </is>
      </c>
      <c r="G6" s="11" t="inlineStr">
        <is>
          <t>KW 5</t>
        </is>
      </c>
      <c r="H6" s="11" t="inlineStr">
        <is>
          <t>KW 6</t>
        </is>
      </c>
      <c r="I6" s="11" t="inlineStr">
        <is>
          <t>KW 7</t>
        </is>
      </c>
      <c r="J6" s="11" t="inlineStr">
        <is>
          <t>KW 8</t>
        </is>
      </c>
    </row>
    <row r="7">
      <c r="B7" s="16" t="inlineStr">
        <is>
          <t>Maschine 1</t>
        </is>
      </c>
      <c r="C7" s="17" t="n">
        <v>21</v>
      </c>
      <c r="D7" s="17" t="n">
        <v>34</v>
      </c>
      <c r="E7" s="17" t="n">
        <v>47</v>
      </c>
      <c r="F7" s="17" t="n">
        <v>60</v>
      </c>
      <c r="G7" s="17" t="n">
        <v>73</v>
      </c>
      <c r="H7" s="17" t="n">
        <v>86</v>
      </c>
      <c r="I7" s="17" t="n">
        <v>99</v>
      </c>
      <c r="J7" s="17" t="n">
        <v>112</v>
      </c>
    </row>
    <row r="8">
      <c r="B8" s="16" t="inlineStr">
        <is>
          <t>Maschine 2</t>
        </is>
      </c>
      <c r="C8" s="17" t="n">
        <v>23</v>
      </c>
      <c r="D8" s="17" t="n">
        <v>36</v>
      </c>
      <c r="E8" s="17" t="n">
        <v>49</v>
      </c>
      <c r="F8" s="17" t="n">
        <v>62</v>
      </c>
      <c r="G8" s="17" t="n">
        <v>75</v>
      </c>
      <c r="H8" s="17" t="n">
        <v>88</v>
      </c>
      <c r="I8" s="17" t="n">
        <v>101</v>
      </c>
      <c r="J8" s="17" t="n">
        <v>114</v>
      </c>
    </row>
    <row r="9">
      <c r="B9" s="16" t="inlineStr">
        <is>
          <t>Maschine 3</t>
        </is>
      </c>
      <c r="C9" s="17" t="n">
        <v>25</v>
      </c>
      <c r="D9" s="17" t="n">
        <v>38</v>
      </c>
      <c r="E9" s="17" t="n">
        <v>51</v>
      </c>
      <c r="F9" s="17" t="n">
        <v>64</v>
      </c>
      <c r="G9" s="17" t="n">
        <v>77</v>
      </c>
      <c r="H9" s="17" t="n">
        <v>90</v>
      </c>
      <c r="I9" s="17" t="n">
        <v>103</v>
      </c>
      <c r="J9" s="17" t="n">
        <v>116</v>
      </c>
    </row>
    <row r="10">
      <c r="B10" s="16" t="inlineStr">
        <is>
          <t>Maschine 4</t>
        </is>
      </c>
      <c r="C10" s="17" t="n">
        <v>27</v>
      </c>
      <c r="D10" s="17" t="n">
        <v>40</v>
      </c>
      <c r="E10" s="17" t="n">
        <v>53</v>
      </c>
      <c r="F10" s="17" t="n">
        <v>66</v>
      </c>
      <c r="G10" s="17" t="n">
        <v>79</v>
      </c>
      <c r="H10" s="17" t="n">
        <v>92</v>
      </c>
      <c r="I10" s="17" t="n">
        <v>105</v>
      </c>
      <c r="J10" s="17" t="n">
        <v>118</v>
      </c>
    </row>
    <row r="11">
      <c r="B11" s="16" t="inlineStr">
        <is>
          <t>Maschine 5</t>
        </is>
      </c>
      <c r="C11" s="17" t="n">
        <v>29</v>
      </c>
      <c r="D11" s="17" t="n">
        <v>42</v>
      </c>
      <c r="E11" s="17" t="n">
        <v>55</v>
      </c>
      <c r="F11" s="17" t="n">
        <v>68</v>
      </c>
      <c r="G11" s="17" t="n">
        <v>81</v>
      </c>
      <c r="H11" s="17" t="n">
        <v>94</v>
      </c>
      <c r="I11" s="17" t="n">
        <v>107</v>
      </c>
      <c r="J11" s="17" t="n">
        <v>120</v>
      </c>
    </row>
    <row r="12">
      <c r="B12" s="16" t="inlineStr">
        <is>
          <t>Maschine 6</t>
        </is>
      </c>
      <c r="C12" s="17" t="n">
        <v>31</v>
      </c>
      <c r="D12" s="17" t="n">
        <v>44</v>
      </c>
      <c r="E12" s="17" t="n">
        <v>57</v>
      </c>
      <c r="F12" s="17" t="n">
        <v>70</v>
      </c>
      <c r="G12" s="17" t="n">
        <v>83</v>
      </c>
      <c r="H12" s="17" t="n">
        <v>96</v>
      </c>
      <c r="I12" s="17" t="n">
        <v>109</v>
      </c>
      <c r="J12" s="17" t="n">
        <v>122</v>
      </c>
    </row>
    <row r="13">
      <c r="B13" s="16" t="inlineStr">
        <is>
          <t>Maschine 7</t>
        </is>
      </c>
      <c r="C13" s="17" t="n">
        <v>33</v>
      </c>
      <c r="D13" s="17" t="n">
        <v>46</v>
      </c>
      <c r="E13" s="17" t="n">
        <v>59</v>
      </c>
      <c r="F13" s="17" t="n">
        <v>72</v>
      </c>
      <c r="G13" s="17" t="n">
        <v>85</v>
      </c>
      <c r="H13" s="17" t="n">
        <v>98</v>
      </c>
      <c r="I13" s="17" t="n">
        <v>111</v>
      </c>
      <c r="J13" s="17" t="n">
        <v>124</v>
      </c>
    </row>
    <row r="14">
      <c r="B14" s="16" t="inlineStr">
        <is>
          <t>Maschine 8</t>
        </is>
      </c>
      <c r="C14" s="17" t="n">
        <v>35</v>
      </c>
      <c r="D14" s="17" t="n">
        <v>48</v>
      </c>
      <c r="E14" s="17" t="n">
        <v>61</v>
      </c>
      <c r="F14" s="17" t="n">
        <v>74</v>
      </c>
      <c r="G14" s="17" t="n">
        <v>87</v>
      </c>
      <c r="H14" s="17" t="n">
        <v>100</v>
      </c>
      <c r="I14" s="17" t="n">
        <v>113</v>
      </c>
      <c r="J14" s="17" t="n">
        <v>126</v>
      </c>
    </row>
    <row r="15">
      <c r="B15" s="16" t="inlineStr">
        <is>
          <t>Maschine 9</t>
        </is>
      </c>
      <c r="C15" s="17" t="n">
        <v>37</v>
      </c>
      <c r="D15" s="17" t="n">
        <v>50</v>
      </c>
      <c r="E15" s="17" t="n">
        <v>63</v>
      </c>
      <c r="F15" s="17" t="n">
        <v>76</v>
      </c>
      <c r="G15" s="17" t="n">
        <v>89</v>
      </c>
      <c r="H15" s="17" t="n">
        <v>102</v>
      </c>
      <c r="I15" s="17" t="n">
        <v>115</v>
      </c>
      <c r="J15" s="17" t="n">
        <v>128</v>
      </c>
    </row>
    <row r="16">
      <c r="B16" s="16" t="inlineStr">
        <is>
          <t>Maschine 10</t>
        </is>
      </c>
      <c r="C16" s="17" t="n">
        <v>39</v>
      </c>
      <c r="D16" s="17" t="n">
        <v>52</v>
      </c>
      <c r="E16" s="17" t="n">
        <v>65</v>
      </c>
      <c r="F16" s="17" t="n">
        <v>78</v>
      </c>
      <c r="G16" s="17" t="n">
        <v>91</v>
      </c>
      <c r="H16" s="17" t="n">
        <v>104</v>
      </c>
      <c r="I16" s="17" t="n">
        <v>117</v>
      </c>
      <c r="J16" s="17" t="n">
        <v>130</v>
      </c>
    </row>
    <row r="17">
      <c r="B17" s="16" t="inlineStr">
        <is>
          <t>Maschine 11</t>
        </is>
      </c>
      <c r="C17" s="17" t="n">
        <v>41</v>
      </c>
      <c r="D17" s="17" t="n">
        <v>54</v>
      </c>
      <c r="E17" s="17" t="n">
        <v>67</v>
      </c>
      <c r="F17" s="17" t="n">
        <v>80</v>
      </c>
      <c r="G17" s="17" t="n">
        <v>93</v>
      </c>
      <c r="H17" s="17" t="n">
        <v>106</v>
      </c>
      <c r="I17" s="17" t="n">
        <v>119</v>
      </c>
      <c r="J17" s="17" t="n">
        <v>132</v>
      </c>
    </row>
    <row r="18">
      <c r="B18" s="16" t="inlineStr">
        <is>
          <t>Maschine 12</t>
        </is>
      </c>
      <c r="C18" s="17" t="n">
        <v>43</v>
      </c>
      <c r="D18" s="17" t="n">
        <v>56</v>
      </c>
      <c r="E18" s="17" t="n">
        <v>69</v>
      </c>
      <c r="F18" s="17" t="n">
        <v>82</v>
      </c>
      <c r="G18" s="17" t="n">
        <v>95</v>
      </c>
      <c r="H18" s="17" t="n">
        <v>108</v>
      </c>
      <c r="I18" s="17" t="n">
        <v>121</v>
      </c>
      <c r="J18" s="17" t="n">
        <v>134</v>
      </c>
    </row>
    <row r="20" ht="30" customHeight="1">
      <c r="B20" s="18" t="inlineStr">
        <is>
          <t>Aufgabe 1:  Formatiere den Block mit drei Regeln: Werte über 100 hellrot, über 80 gelb, über 50 grün.</t>
        </is>
      </c>
    </row>
    <row r="21" ht="42" customHeight="1">
      <c r="B21" s="15" t="inlineStr">
        <is>
          <t>Tipp: Bedingte Formatierung - Regeln zum Hervorheben von Zellen - Größer als. Prüfe anschließend unter Regeln verwalten, ob die Reihenfolge stimmt - die oberste Regel gewinnt.</t>
        </is>
      </c>
    </row>
    <row r="23">
      <c r="B23" s="11" t="inlineStr">
        <is>
          <t>Verständnisfrage</t>
        </is>
      </c>
      <c r="C23" s="11" t="inlineStr">
        <is>
          <t>dein Ergebnis</t>
        </is>
      </c>
      <c r="D23" s="11" t="inlineStr">
        <is>
          <t>Kontrolle</t>
        </is>
      </c>
    </row>
    <row r="24">
      <c r="B24" s="19" t="inlineStr">
        <is>
          <t>Wie viele Zellen sind größer als 100?</t>
        </is>
      </c>
      <c r="L24" s="22" t="n"/>
      <c r="M24" s="21">
        <f>IF(L24="","Kontrolle",IF(AND(_xlfn.ISFORMULA(L24),L24=27),"OK - richtig",IF(L24=27,"Ergebnis stimmt - bitte als Formel eingeben!","noch nicht richtig")))</f>
        <v/>
      </c>
    </row>
    <row r="25">
      <c r="B25" s="19" t="inlineStr">
        <is>
          <t>Wie viele Zellen liegen zwischen 51 und 80 (jeweils inklusive)?</t>
        </is>
      </c>
      <c r="L25" s="22" t="n"/>
      <c r="M25" s="21">
        <f>IF(L25="","Kontrolle",IF(AND(_xlfn.ISFORMULA(L25),L25=28),"OK - richtig",IF(L25=28,"Ergebnis stimmt - bitte als Formel eingeben!","noch nicht richtig")))</f>
        <v/>
      </c>
    </row>
    <row r="26">
      <c r="B26" s="19" t="inlineStr">
        <is>
          <t>Wie viele Zellen sind 50 oder kleiner?</t>
        </is>
      </c>
      <c r="L26" s="22" t="n"/>
      <c r="M26" s="21">
        <f>IF(L26="","Kontrolle",IF(AND(_xlfn.ISFORMULA(L26),L26=23),"OK - richtig",IF(L26=23,"Ergebnis stimmt - bitte als Formel eingeben!","noch nicht richtig")))</f>
        <v/>
      </c>
    </row>
    <row r="28" ht="45" customHeight="1">
      <c r="B28" s="18" t="inlineStr">
        <is>
          <t>Aufgabe 2:  Ergänze eine vierte Regel: Obere 10 % - fett und dunkelblau. Schiebe sie unter Regeln verwalten an die oberste Position und beobachte, wie sich das Bild ändert.</t>
        </is>
      </c>
    </row>
    <row r="29" ht="30" customHeight="1">
      <c r="B29" s="18" t="inlineStr">
        <is>
          <t>Aufgabe 3:  Markiere in der Namensspalte alle Maschinen, deren Bezeichnung eine 1 enthält.</t>
        </is>
      </c>
    </row>
    <row r="30" ht="28" customHeight="1">
      <c r="B30" s="15" t="inlineStr">
        <is>
          <t>Tipp: Bedingte Formatierung - Regeln zum Hervorheben von Zellen - Textinhalt.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B1:Q24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20" customWidth="1" min="16" max="16"/>
    <col width="46" customWidth="1" min="17" max="17"/>
  </cols>
  <sheetData>
    <row r="1" ht="22" customHeight="1">
      <c r="B1" s="1" t="inlineStr">
        <is>
          <t>3  Dreifarbige Skala mit eigenem Mittelpunkt</t>
        </is>
      </c>
    </row>
    <row r="2">
      <c r="B2" s="14" t="inlineStr">
        <is>
          <t>Kapitel: Bedingte Formatierung - Neue Regel erstellen</t>
        </is>
      </c>
    </row>
    <row r="4" ht="42" customHeight="1">
      <c r="B4" s="15" t="inlineStr">
        <is>
          <t>Mittleres Temperaturmaximum in Grad Celsius. Du willst wissen, wann du wohin verreisen kannst - deine Wohlfühltemperatur steht in der gelben Zelle.</t>
        </is>
      </c>
    </row>
    <row r="6">
      <c r="B6" s="16" t="inlineStr">
        <is>
          <t>Wohlfühltemperatur</t>
        </is>
      </c>
      <c r="C6" s="23" t="n">
        <v>18</v>
      </c>
      <c r="E6" s="14" t="inlineStr">
        <is>
          <t>&lt;- Diese Temperatur soll in der Skala WEISS dargestellt werden.</t>
        </is>
      </c>
    </row>
    <row r="8">
      <c r="C8" s="11" t="inlineStr">
        <is>
          <t>Jän</t>
        </is>
      </c>
      <c r="D8" s="11" t="inlineStr">
        <is>
          <t>Feb</t>
        </is>
      </c>
      <c r="E8" s="11" t="inlineStr">
        <is>
          <t>Mär</t>
        </is>
      </c>
      <c r="F8" s="11" t="inlineStr">
        <is>
          <t>Apr</t>
        </is>
      </c>
      <c r="G8" s="11" t="inlineStr">
        <is>
          <t>Mai</t>
        </is>
      </c>
      <c r="H8" s="11" t="inlineStr">
        <is>
          <t>Jun</t>
        </is>
      </c>
      <c r="I8" s="11" t="inlineStr">
        <is>
          <t>Jul</t>
        </is>
      </c>
      <c r="J8" s="11" t="inlineStr">
        <is>
          <t>Aug</t>
        </is>
      </c>
      <c r="K8" s="11" t="inlineStr">
        <is>
          <t>Sep</t>
        </is>
      </c>
      <c r="L8" s="11" t="inlineStr">
        <is>
          <t>Okt</t>
        </is>
      </c>
      <c r="M8" s="11" t="inlineStr">
        <is>
          <t>Nov</t>
        </is>
      </c>
      <c r="N8" s="11" t="inlineStr">
        <is>
          <t>Dez</t>
        </is>
      </c>
    </row>
    <row r="9">
      <c r="B9" s="16" t="inlineStr">
        <is>
          <t>Griechenland</t>
        </is>
      </c>
      <c r="C9" s="24" t="n">
        <v>13</v>
      </c>
      <c r="D9" s="24" t="n">
        <v>14</v>
      </c>
      <c r="E9" s="24" t="n">
        <v>16</v>
      </c>
      <c r="F9" s="24" t="n">
        <v>20</v>
      </c>
      <c r="G9" s="24" t="n">
        <v>26</v>
      </c>
      <c r="H9" s="24" t="n">
        <v>32</v>
      </c>
      <c r="I9" s="24" t="n">
        <v>34</v>
      </c>
      <c r="J9" s="24" t="n">
        <v>35</v>
      </c>
      <c r="K9" s="24" t="n">
        <v>28</v>
      </c>
      <c r="L9" s="24" t="n">
        <v>24</v>
      </c>
      <c r="M9" s="24" t="n">
        <v>18</v>
      </c>
      <c r="N9" s="24" t="n">
        <v>15</v>
      </c>
    </row>
    <row r="10">
      <c r="B10" s="16" t="inlineStr">
        <is>
          <t>Spanien</t>
        </is>
      </c>
      <c r="C10" s="24" t="n">
        <v>13</v>
      </c>
      <c r="D10" s="24" t="n">
        <v>14</v>
      </c>
      <c r="E10" s="24" t="n">
        <v>15</v>
      </c>
      <c r="F10" s="24" t="n">
        <v>18</v>
      </c>
      <c r="G10" s="24" t="n">
        <v>20</v>
      </c>
      <c r="H10" s="24" t="n">
        <v>23</v>
      </c>
      <c r="I10" s="24" t="n">
        <v>26</v>
      </c>
      <c r="J10" s="24" t="n">
        <v>28</v>
      </c>
      <c r="K10" s="24" t="n">
        <v>25</v>
      </c>
      <c r="L10" s="24" t="n">
        <v>20</v>
      </c>
      <c r="M10" s="24" t="n">
        <v>16</v>
      </c>
      <c r="N10" s="24" t="n">
        <v>12</v>
      </c>
    </row>
    <row r="11">
      <c r="B11" s="16" t="inlineStr">
        <is>
          <t>Irland</t>
        </is>
      </c>
      <c r="C11" s="24" t="n">
        <v>8</v>
      </c>
      <c r="D11" s="24" t="n">
        <v>9</v>
      </c>
      <c r="E11" s="24" t="n">
        <v>10</v>
      </c>
      <c r="F11" s="24" t="n">
        <v>13</v>
      </c>
      <c r="G11" s="24" t="n">
        <v>15</v>
      </c>
      <c r="H11" s="24" t="n">
        <v>18</v>
      </c>
      <c r="I11" s="24" t="n">
        <v>20</v>
      </c>
      <c r="J11" s="24" t="n">
        <v>19</v>
      </c>
      <c r="K11" s="24" t="n">
        <v>17</v>
      </c>
      <c r="L11" s="24" t="n">
        <v>14</v>
      </c>
      <c r="M11" s="24" t="n">
        <v>9</v>
      </c>
      <c r="N11" s="24" t="n">
        <v>8</v>
      </c>
    </row>
    <row r="12">
      <c r="B12" s="16" t="inlineStr">
        <is>
          <t>Norwegen</t>
        </is>
      </c>
      <c r="C12" s="24" t="n">
        <v>-2</v>
      </c>
      <c r="D12" s="24" t="n">
        <v>-1</v>
      </c>
      <c r="E12" s="24" t="n">
        <v>3</v>
      </c>
      <c r="F12" s="24" t="n">
        <v>8</v>
      </c>
      <c r="G12" s="24" t="n">
        <v>14</v>
      </c>
      <c r="H12" s="24" t="n">
        <v>18</v>
      </c>
      <c r="I12" s="24" t="n">
        <v>21</v>
      </c>
      <c r="J12" s="24" t="n">
        <v>20</v>
      </c>
      <c r="K12" s="24" t="n">
        <v>15</v>
      </c>
      <c r="L12" s="24" t="n">
        <v>9</v>
      </c>
      <c r="M12" s="24" t="n">
        <v>3</v>
      </c>
      <c r="N12" s="24" t="n">
        <v>-1</v>
      </c>
    </row>
    <row r="13">
      <c r="B13" s="16" t="inlineStr">
        <is>
          <t>Marokko</t>
        </is>
      </c>
      <c r="C13" s="24" t="n">
        <v>18</v>
      </c>
      <c r="D13" s="24" t="n">
        <v>19</v>
      </c>
      <c r="E13" s="24" t="n">
        <v>21</v>
      </c>
      <c r="F13" s="24" t="n">
        <v>23</v>
      </c>
      <c r="G13" s="24" t="n">
        <v>26</v>
      </c>
      <c r="H13" s="24" t="n">
        <v>29</v>
      </c>
      <c r="I13" s="24" t="n">
        <v>33</v>
      </c>
      <c r="J13" s="24" t="n">
        <v>33</v>
      </c>
      <c r="K13" s="24" t="n">
        <v>30</v>
      </c>
      <c r="L13" s="24" t="n">
        <v>26</v>
      </c>
      <c r="M13" s="24" t="n">
        <v>22</v>
      </c>
      <c r="N13" s="24" t="n">
        <v>19</v>
      </c>
    </row>
    <row r="14">
      <c r="B14" s="16" t="inlineStr">
        <is>
          <t>Island</t>
        </is>
      </c>
      <c r="C14" s="24" t="n">
        <v>2</v>
      </c>
      <c r="D14" s="24" t="n">
        <v>3</v>
      </c>
      <c r="E14" s="24" t="n">
        <v>4</v>
      </c>
      <c r="F14" s="24" t="n">
        <v>6</v>
      </c>
      <c r="G14" s="24" t="n">
        <v>10</v>
      </c>
      <c r="H14" s="24" t="n">
        <v>13</v>
      </c>
      <c r="I14" s="24" t="n">
        <v>15</v>
      </c>
      <c r="J14" s="24" t="n">
        <v>14</v>
      </c>
      <c r="K14" s="24" t="n">
        <v>11</v>
      </c>
      <c r="L14" s="24" t="n">
        <v>7</v>
      </c>
      <c r="M14" s="24" t="n">
        <v>4</v>
      </c>
      <c r="N14" s="24" t="n">
        <v>2</v>
      </c>
    </row>
    <row r="16" ht="60" customHeight="1">
      <c r="B16" s="18" t="inlineStr">
        <is>
          <t>Aufgabe 1:  Lege auf den Temperaturblock eine dreifarbige Skala: Minimum blau, Mittelpunkt weiß, Maximum gelb. Der Mittelpunkt darf KEIN Perzentil sein, sondern muss auf die gelbe Zelle mit deiner Wohlfühltemperatur verweisen.</t>
        </is>
      </c>
    </row>
    <row r="17" ht="42" customHeight="1">
      <c r="B17" s="15" t="inlineStr">
        <is>
          <t>Tipp: Bedingte Formatierung - Neue Regel - Alle Zellen basierend auf ihren Werten formatieren - Formatstil 3-Farben-Skala. Beim Mittelpunkt den Typ auf Zahl stellen und mit = auf die Zelle C6 verweisen.</t>
        </is>
      </c>
    </row>
    <row r="18" ht="45" customHeight="1">
      <c r="B18" s="18" t="inlineStr">
        <is>
          <t>Aufgabe 2:  Ändere die Wohlfühltemperatur auf 25 und beobachte, wie sich die gesamte Skala verschiebt. Genau das ist der Vorteil gegenüber einer festen Zahl.</t>
        </is>
      </c>
    </row>
    <row r="20">
      <c r="B20" s="11" t="inlineStr">
        <is>
          <t>Verständnisfrage</t>
        </is>
      </c>
      <c r="C20" s="11" t="inlineStr">
        <is>
          <t>dein Ergebnis</t>
        </is>
      </c>
      <c r="D20" s="11" t="inlineStr">
        <is>
          <t>Kontrolle</t>
        </is>
      </c>
    </row>
    <row r="21">
      <c r="B21" s="19" t="inlineStr">
        <is>
          <t>Wie viele Monatswerte liegen über 18 Grad?</t>
        </is>
      </c>
      <c r="P21" s="22" t="n"/>
      <c r="Q21" s="21">
        <f>IF(P21="","Kontrolle",IF(AND(_xlfn.ISFORMULA(P21),P21=28),"OK - richtig",IF(P21=28,"Ergebnis stimmt - bitte als Formel eingeben!","noch nicht richtig")))</f>
        <v/>
      </c>
    </row>
    <row r="22">
      <c r="B22" s="19" t="inlineStr">
        <is>
          <t>Wärmster Wert der gesamten Tabelle</t>
        </is>
      </c>
      <c r="P22" s="23" t="n"/>
      <c r="Q22" s="21">
        <f>IF(P22="","Kontrolle",IF(AND(_xlfn.ISFORMULA(P22),P22=35),"OK - richtig",IF(P22=35,"Ergebnis stimmt - bitte als Formel eingeben!","noch nicht richtig")))</f>
        <v/>
      </c>
    </row>
    <row r="23">
      <c r="B23" s="19" t="inlineStr">
        <is>
          <t>Kältester Wert der gesamten Tabelle</t>
        </is>
      </c>
      <c r="P23" s="23" t="n"/>
      <c r="Q23" s="21">
        <f>IF(P23="","Kontrolle",IF(AND(_xlfn.ISFORMULA(P23),P23=-2),"OK - richtig",IF(P23=-2,"Ergebnis stimmt - bitte als Formel eingeben!","noch nicht richtig")))</f>
        <v/>
      </c>
    </row>
    <row r="24">
      <c r="B24" s="19" t="inlineStr">
        <is>
          <t>In wie vielen Monaten ist es in Irland wärmer als 15 Grad?</t>
        </is>
      </c>
      <c r="P24" s="22" t="n"/>
      <c r="Q24" s="21">
        <f>IF(P24="","Kontrolle",IF(AND(_xlfn.ISFORMULA(P24),P24=4),"OK - richtig",IF(P24=4,"Ergebnis stimmt - bitte als Formel eingeben!","noch nicht richtig")))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B1:J28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9" max="9"/>
    <col width="52" customWidth="1" min="10" max="10"/>
  </cols>
  <sheetData>
    <row r="1" ht="22" customHeight="1">
      <c r="B1" s="1" t="inlineStr">
        <is>
          <t>4  Eigene Regeln mit Formeln</t>
        </is>
      </c>
    </row>
    <row r="2">
      <c r="B2" s="14" t="inlineStr">
        <is>
          <t>Kapitel: Bedingte Formatierung - Neue Regel erstellen (Regeltyp 6)</t>
        </is>
      </c>
    </row>
    <row r="4" ht="42" customHeight="1">
      <c r="B4" s="15" t="inlineStr">
        <is>
          <t>Der sechste Regeltyp erlaubt eine eigene Formel. Sie muss WAHR oder FALSCH liefern. Entscheidend sind die Zellbezüge: Fixierst du die SPALTE ($B5), gilt die Regel für die ganze Zeile.</t>
        </is>
      </c>
    </row>
    <row r="6">
      <c r="B6" s="11" t="inlineStr">
        <is>
          <t>Projekt</t>
        </is>
      </c>
      <c r="C6" s="11" t="inlineStr">
        <is>
          <t>Abteilung</t>
        </is>
      </c>
      <c r="D6" s="11" t="inlineStr">
        <is>
          <t>Budget</t>
        </is>
      </c>
      <c r="E6" s="11" t="inlineStr">
        <is>
          <t>Ist-Kosten</t>
        </is>
      </c>
      <c r="F6" s="11" t="inlineStr">
        <is>
          <t>Status</t>
        </is>
      </c>
    </row>
    <row r="7">
      <c r="B7" s="25" t="inlineStr">
        <is>
          <t>P-1001</t>
        </is>
      </c>
      <c r="C7" s="25" t="inlineStr">
        <is>
          <t>Vertrieb</t>
        </is>
      </c>
      <c r="D7" s="17" t="n">
        <v>45000</v>
      </c>
      <c r="E7" s="17" t="n">
        <v>52000</v>
      </c>
      <c r="F7" s="25" t="inlineStr">
        <is>
          <t>abgeschlossen</t>
        </is>
      </c>
    </row>
    <row r="8">
      <c r="B8" s="25" t="inlineStr">
        <is>
          <t>P-1002</t>
        </is>
      </c>
      <c r="C8" s="25" t="inlineStr">
        <is>
          <t>Technik</t>
        </is>
      </c>
      <c r="D8" s="17" t="n">
        <v>120000</v>
      </c>
      <c r="E8" s="17" t="n">
        <v>98000</v>
      </c>
      <c r="F8" s="25" t="inlineStr">
        <is>
          <t>laufend</t>
        </is>
      </c>
    </row>
    <row r="9">
      <c r="B9" s="25" t="inlineStr">
        <is>
          <t>P-1003</t>
        </is>
      </c>
      <c r="C9" s="25" t="inlineStr">
        <is>
          <t>Vertrieb</t>
        </is>
      </c>
      <c r="D9" s="17" t="n">
        <v>30000</v>
      </c>
      <c r="E9" s="17" t="n">
        <v>31500</v>
      </c>
      <c r="F9" s="25" t="inlineStr">
        <is>
          <t>laufend</t>
        </is>
      </c>
    </row>
    <row r="10">
      <c r="B10" s="25" t="inlineStr">
        <is>
          <t>P-1004</t>
        </is>
      </c>
      <c r="C10" s="25" t="inlineStr">
        <is>
          <t>Einkauf</t>
        </is>
      </c>
      <c r="D10" s="17" t="n">
        <v>15000</v>
      </c>
      <c r="E10" s="17" t="n">
        <v>14200</v>
      </c>
      <c r="F10" s="25" t="inlineStr">
        <is>
          <t>abgeschlossen</t>
        </is>
      </c>
    </row>
    <row r="11">
      <c r="B11" s="25" t="inlineStr">
        <is>
          <t>P-1005</t>
        </is>
      </c>
      <c r="C11" s="25" t="inlineStr">
        <is>
          <t>Technik</t>
        </is>
      </c>
      <c r="D11" s="17" t="n">
        <v>88000</v>
      </c>
      <c r="E11" s="17" t="n">
        <v>105000</v>
      </c>
      <c r="F11" s="25" t="inlineStr">
        <is>
          <t>laufend</t>
        </is>
      </c>
    </row>
    <row r="12">
      <c r="B12" s="25" t="inlineStr">
        <is>
          <t>P-1006</t>
        </is>
      </c>
      <c r="C12" s="25" t="inlineStr">
        <is>
          <t>Einkauf</t>
        </is>
      </c>
      <c r="D12" s="17" t="n">
        <v>62000</v>
      </c>
      <c r="E12" s="17" t="n">
        <v>59000</v>
      </c>
      <c r="F12" s="25" t="inlineStr">
        <is>
          <t>abgeschlossen</t>
        </is>
      </c>
    </row>
    <row r="13">
      <c r="B13" s="25" t="inlineStr">
        <is>
          <t>P-1007</t>
        </is>
      </c>
      <c r="C13" s="25" t="inlineStr">
        <is>
          <t>Vertrieb</t>
        </is>
      </c>
      <c r="D13" s="17" t="n">
        <v>41000</v>
      </c>
      <c r="E13" s="17" t="n">
        <v>47500</v>
      </c>
      <c r="F13" s="25" t="inlineStr">
        <is>
          <t>laufend</t>
        </is>
      </c>
    </row>
    <row r="14">
      <c r="B14" s="25" t="inlineStr">
        <is>
          <t>P-1008</t>
        </is>
      </c>
      <c r="C14" s="25" t="inlineStr">
        <is>
          <t>Technik</t>
        </is>
      </c>
      <c r="D14" s="17" t="n">
        <v>25000</v>
      </c>
      <c r="E14" s="17" t="n">
        <v>24000</v>
      </c>
      <c r="F14" s="25" t="inlineStr">
        <is>
          <t>abgeschlossen</t>
        </is>
      </c>
    </row>
    <row r="16" ht="30" customHeight="1">
      <c r="B16" s="18" t="inlineStr">
        <is>
          <t>Aufgabe 1:  Färbe die GANZE ZEILE hellrot, wenn die Ist-Kosten das Budget überschreiten.</t>
        </is>
      </c>
    </row>
    <row r="17" ht="28" customHeight="1">
      <c r="B17" s="15" t="inlineStr">
        <is>
          <t>Tipp: Bereich B7:F14 markieren - Neue Regel - Formel zur Ermittlung - =$E7&gt;$D7   (nur die Spalten fixieren, nicht die Zeile!)</t>
        </is>
      </c>
    </row>
    <row r="18" ht="15" customHeight="1">
      <c r="B18" s="18" t="inlineStr">
        <is>
          <t>Aufgabe 2:  Färbe die ganze Zeile grau, wenn der Status abgeschlossen lautet.</t>
        </is>
      </c>
    </row>
    <row r="19" ht="14" customHeight="1">
      <c r="B19" s="15" t="inlineStr">
        <is>
          <t>Tipp: =$F7="abgeschlossen"</t>
        </is>
      </c>
    </row>
    <row r="20" ht="30" customHeight="1">
      <c r="B20" s="18" t="inlineStr">
        <is>
          <t>Aufgabe 3:  Färbe jede zweite Zeile leicht ein - ohne die Zeilen einzeln zu formatieren.</t>
        </is>
      </c>
    </row>
    <row r="21" ht="14" customHeight="1">
      <c r="B21" s="15" t="inlineStr">
        <is>
          <t>Tipp: =REST(ZEILE();2)=0</t>
        </is>
      </c>
    </row>
    <row r="22" ht="45" customHeight="1">
      <c r="B22" s="18" t="inlineStr">
        <is>
          <t>Aufgabe 4:  Markiere alle Zellen der Spalte Ist-Kosten, die LEER sind. Lösche testweise einen Wert, um die Regel zu sehen - und mache es mit STRG + Z rückgängig.</t>
        </is>
      </c>
    </row>
    <row r="23" ht="14" customHeight="1">
      <c r="B23" s="15" t="inlineStr">
        <is>
          <t>Tipp: =ISTLEER(E7)</t>
        </is>
      </c>
    </row>
    <row r="25">
      <c r="B25" s="11" t="inlineStr">
        <is>
          <t>Verständnisfrage</t>
        </is>
      </c>
      <c r="C25" s="11" t="inlineStr">
        <is>
          <t>dein Ergebnis</t>
        </is>
      </c>
      <c r="D25" s="11" t="inlineStr">
        <is>
          <t>Kontrolle</t>
        </is>
      </c>
    </row>
    <row r="26">
      <c r="B26" s="19" t="inlineStr">
        <is>
          <t>Wie viele Projekte überschreiten ihr Budget?</t>
        </is>
      </c>
      <c r="I26" s="22" t="n"/>
      <c r="J26" s="21">
        <f>IF(I26="","Kontrolle",IF(AND(_xlfn.ISFORMULA(I26),I26=4),"OK - richtig",IF(I26=4,"Ergebnis stimmt - bitte als Formel eingeben!","noch nicht richtig")))</f>
        <v/>
      </c>
    </row>
    <row r="27">
      <c r="B27" s="19" t="inlineStr">
        <is>
          <t>Wie viele Projekte sind abgeschlossen?</t>
        </is>
      </c>
      <c r="I27" s="22" t="n"/>
      <c r="J27" s="21">
        <f>IF(I27="","Kontrolle",IF(AND(_xlfn.ISFORMULA(I27),I27=4),"OK - richtig",IF(I27=4,"Ergebnis stimmt - bitte als Formel eingeben!","noch nicht richtig")))</f>
        <v/>
      </c>
    </row>
    <row r="28">
      <c r="B28" s="19" t="inlineStr">
        <is>
          <t>Wie hoch ist die Budgetüberschreitung insgesamt in Euro?</t>
        </is>
      </c>
      <c r="I28" s="22" t="n"/>
      <c r="J28" s="21">
        <f>IF(I28="","Kontrolle",IF(AND(_xlfn.ISFORMULA(I28),I28=32000),"OK - richtig",IF(I28=32000,"Ergebnis stimmt - bitte als Formel eingeben!","noch nicht richtig")))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B1:H22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B1" s="1" t="inlineStr">
        <is>
          <t>5  Regeln bearbeiten, löschen und übertragen</t>
        </is>
      </c>
    </row>
    <row r="2">
      <c r="B2" s="14" t="inlineStr">
        <is>
          <t>Kapitel: Bedingte Formatierung - Regeln bearbeiten/löschen</t>
        </is>
      </c>
    </row>
    <row r="4" ht="28" customHeight="1">
      <c r="B4" s="2" t="inlineStr">
        <is>
          <t>Auf den gelben Block sind bereits ZWEI Regeln gelegt - allerdings in der falschen Reihenfolge, weshalb man eine davon nie sieht.</t>
        </is>
      </c>
    </row>
    <row r="6">
      <c r="C6" s="11" t="inlineStr">
        <is>
          <t>W1</t>
        </is>
      </c>
      <c r="D6" s="11" t="inlineStr">
        <is>
          <t>W2</t>
        </is>
      </c>
      <c r="E6" s="11" t="inlineStr">
        <is>
          <t>W3</t>
        </is>
      </c>
      <c r="F6" s="11" t="inlineStr">
        <is>
          <t>W4</t>
        </is>
      </c>
      <c r="G6" s="11" t="inlineStr">
        <is>
          <t>W5</t>
        </is>
      </c>
      <c r="H6" s="11" t="inlineStr">
        <is>
          <t>W6</t>
        </is>
      </c>
    </row>
    <row r="7">
      <c r="C7" s="17" t="n">
        <v>12</v>
      </c>
      <c r="D7" s="17" t="n">
        <v>45</v>
      </c>
      <c r="E7" s="17" t="n">
        <v>78</v>
      </c>
      <c r="F7" s="17" t="n">
        <v>95</v>
      </c>
      <c r="G7" s="17" t="n">
        <v>23</v>
      </c>
      <c r="H7" s="17" t="n">
        <v>67</v>
      </c>
    </row>
    <row r="8">
      <c r="C8" s="17" t="n">
        <v>88</v>
      </c>
      <c r="D8" s="17" t="n">
        <v>34</v>
      </c>
      <c r="E8" s="17" t="n">
        <v>56</v>
      </c>
      <c r="F8" s="17" t="n">
        <v>99</v>
      </c>
      <c r="G8" s="17" t="n">
        <v>41</v>
      </c>
      <c r="H8" s="17" t="n">
        <v>72</v>
      </c>
    </row>
    <row r="10" ht="45" customHeight="1">
      <c r="B10" s="18" t="inlineStr">
        <is>
          <t>Aufgabe 1:  Öffne Bedingte Formatierung - Regeln verwalten und stelle den Geltungsbereich auf Dieses Arbeitsblatt. Sieh dir an, welche Regeln existieren.</t>
        </is>
      </c>
    </row>
    <row r="11" ht="28" customHeight="1">
      <c r="B11" s="15" t="inlineStr">
        <is>
          <t>Tipp: Standardmäßig zeigt der Manager nur die Regeln der aktuellen Auswahl - das führt oft zu Verwirrung.</t>
        </is>
      </c>
    </row>
    <row r="12" ht="45" customHeight="1">
      <c r="B12" s="18" t="inlineStr">
        <is>
          <t>Aufgabe 2:  Lege zwei Regeln an: Werte über 90 rot, Werte über 50 gelb - und zwar ABSICHTLICH in der falschen Reihenfolge (über 50 zuoberst). Schau dir das Ergebnis an und schiebe die Regeln dann richtig.</t>
        </is>
      </c>
    </row>
    <row r="13" ht="28" customHeight="1">
      <c r="B13" s="15" t="inlineStr">
        <is>
          <t>Tipp: Mit den Pfeilen im Regelmanager verschiebst du die Reihenfolge. Die oberste zutreffende Regel gewinnt.</t>
        </is>
      </c>
    </row>
    <row r="14" ht="30" customHeight="1">
      <c r="B14" s="18" t="inlineStr">
        <is>
          <t>Aufgabe 3:  Dupliziere eine der Regeln über Regel duplizieren und ändere die Kopie auf über 70 - orange. Lösche sie danach wieder.</t>
        </is>
      </c>
    </row>
    <row r="15" ht="30" customHeight="1">
      <c r="B15" s="18" t="inlineStr">
        <is>
          <t>Aufgabe 4:  Übertrage die Formatierung des ersten Blocks mit Format übertragen auf den zweiten (leeren) Block darunter - die Regeln wandern mit.</t>
        </is>
      </c>
    </row>
    <row r="16" ht="14" customHeight="1">
      <c r="B16" s="15" t="inlineStr">
        <is>
          <t>Tipp: Start - Zwischenablage - Format übertragen.</t>
        </is>
      </c>
    </row>
    <row r="18">
      <c r="C18" s="22" t="n">
        <v>95</v>
      </c>
      <c r="D18" s="22" t="n">
        <v>23</v>
      </c>
      <c r="E18" s="22" t="n">
        <v>67</v>
      </c>
      <c r="F18" s="22" t="n">
        <v>88</v>
      </c>
      <c r="G18" s="22" t="n">
        <v>34</v>
      </c>
      <c r="H18" s="22" t="n">
        <v>56</v>
      </c>
    </row>
    <row r="19">
      <c r="C19" s="22" t="n">
        <v>99</v>
      </c>
      <c r="D19" s="22" t="n">
        <v>41</v>
      </c>
      <c r="E19" s="22" t="n">
        <v>72</v>
      </c>
      <c r="F19" s="22" t="n">
        <v>12</v>
      </c>
      <c r="G19" s="22" t="n">
        <v>45</v>
      </c>
      <c r="H19" s="22" t="n">
        <v>78</v>
      </c>
    </row>
    <row r="21" ht="15" customHeight="1">
      <c r="B21" s="18" t="inlineStr">
        <is>
          <t>Aufgabe 5:  Lösche zum Schluss ALLE Regeln dieses Arbeitsblattes auf einmal.</t>
        </is>
      </c>
    </row>
    <row r="22" ht="28" customHeight="1">
      <c r="B22" s="15" t="inlineStr">
        <is>
          <t>Tipp: Bedingte Formatierung - Regeln löschen - Regeln in gesamtem Blatt löschen.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B1:J49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24" customWidth="1" min="4" max="4"/>
    <col width="10" customWidth="1" min="5" max="5"/>
    <col width="10" customWidth="1" min="6" max="6"/>
    <col width="10" customWidth="1" min="7" max="7"/>
    <col width="20" customWidth="1" min="9" max="9"/>
    <col width="52" customWidth="1" min="10" max="10"/>
  </cols>
  <sheetData>
    <row r="1" ht="22" customHeight="1">
      <c r="B1" s="1" t="inlineStr">
        <is>
          <t>6  Praxisfall: Stundenzettel</t>
        </is>
      </c>
    </row>
    <row r="2">
      <c r="B2" s="14" t="inlineStr">
        <is>
          <t>Kapitel: Bedingte Formatierung - alle Techniken zusammen</t>
        </is>
      </c>
    </row>
    <row r="4" ht="15" customHeight="1">
      <c r="B4" s="18" t="inlineStr">
        <is>
          <t>Aufgabe 1:  Hinterlege alle Zeilen, die auf ein Wochenende fallen, grau.</t>
        </is>
      </c>
    </row>
    <row r="5" ht="28" customHeight="1">
      <c r="B5" s="15" t="inlineStr">
        <is>
          <t>Tipp: =WOCHENTAG($C&lt;Zeile&gt;;2)&gt;5    -   der Modus 2 lässt die Woche am Montag beginnen.</t>
        </is>
      </c>
    </row>
    <row r="6" ht="30" customHeight="1">
      <c r="B6" s="18" t="inlineStr">
        <is>
          <t>Aufgabe 2:  Zeichne bei jedem Wochenwechsel eine Trennlinie: obere Rahmenlinie, wenn der Tag ein Montag ist.</t>
        </is>
      </c>
    </row>
    <row r="7" ht="28" customHeight="1">
      <c r="B7" s="15" t="inlineStr">
        <is>
          <t>Tipp: =WOCHENTAG($C&lt;Zeile&gt;;2)=1   und als Format nur den oberen Rahmen wählen.</t>
        </is>
      </c>
    </row>
    <row r="8" ht="30" customHeight="1">
      <c r="B8" s="18" t="inlineStr">
        <is>
          <t>Aufgabe 3:  Hinterlege die Zelle Tätigkeit farbig, wenn dort nichts eingetragen ist - aber nur an Werktagen.</t>
        </is>
      </c>
    </row>
    <row r="9" ht="14" customHeight="1">
      <c r="B9" s="15" t="inlineStr">
        <is>
          <t>Tipp: =UND(ISTLEER($D&lt;Zeile&gt;);WOCHENTAG($C&lt;Zeile&gt;;2)&lt;=5)</t>
        </is>
      </c>
    </row>
    <row r="10" ht="15" customHeight="1">
      <c r="B10" s="18" t="inlineStr">
        <is>
          <t>Aufgabe 4:  Markiere die Dauer rot, wenn mehr als 8 Stunden gearbeitet wurden.</t>
        </is>
      </c>
    </row>
    <row r="11" ht="28" customHeight="1">
      <c r="B11" s="15" t="inlineStr">
        <is>
          <t>Tipp: Regeln zum Hervorheben - Größer als - und als Vergleichswert die Zeit 8:00 (oder die Zahl 0,3333).</t>
        </is>
      </c>
    </row>
    <row r="13">
      <c r="B13" s="11" t="inlineStr">
        <is>
          <t>Tag</t>
        </is>
      </c>
      <c r="C13" s="11" t="inlineStr">
        <is>
          <t>Datum</t>
        </is>
      </c>
      <c r="D13" s="11" t="inlineStr">
        <is>
          <t>Tätigkeit</t>
        </is>
      </c>
      <c r="E13" s="11" t="inlineStr">
        <is>
          <t>Beginn</t>
        </is>
      </c>
      <c r="F13" s="11" t="inlineStr">
        <is>
          <t>Ende</t>
        </is>
      </c>
      <c r="G13" s="11" t="inlineStr">
        <is>
          <t>Dauer</t>
        </is>
      </c>
    </row>
    <row r="14">
      <c r="B14" s="26" t="n">
        <v>46082</v>
      </c>
      <c r="C14" s="27" t="n">
        <v>46082</v>
      </c>
      <c r="D14" s="4" t="n"/>
      <c r="E14" s="28" t="n"/>
      <c r="F14" s="28" t="n"/>
      <c r="G14" s="29">
        <f>IF(OR(ISBLANK(E14),ISBLANK(F14)),"",F14-E14)</f>
        <v/>
      </c>
    </row>
    <row r="15">
      <c r="B15" s="26" t="n">
        <v>46083</v>
      </c>
      <c r="C15" s="27" t="n">
        <v>46083</v>
      </c>
      <c r="D15" s="4" t="inlineStr">
        <is>
          <t>Außendienst</t>
        </is>
      </c>
      <c r="E15" s="28" t="n">
        <v>0.3333333333333333</v>
      </c>
      <c r="F15" s="28" t="n">
        <v>0.6666666666666666</v>
      </c>
      <c r="G15" s="29">
        <f>IF(OR(ISBLANK(E15),ISBLANK(F15)),"",F15-E15)</f>
        <v/>
      </c>
    </row>
    <row r="16">
      <c r="B16" s="26" t="n">
        <v>46084</v>
      </c>
      <c r="C16" s="27" t="n">
        <v>46084</v>
      </c>
      <c r="D16" s="4" t="inlineStr">
        <is>
          <t>Projektarbeit</t>
        </is>
      </c>
      <c r="E16" s="28" t="n">
        <v>0.3333333333333333</v>
      </c>
      <c r="F16" s="28" t="n">
        <v>0.6666666666666666</v>
      </c>
      <c r="G16" s="29">
        <f>IF(OR(ISBLANK(E16),ISBLANK(F16)),"",F16-E16)</f>
        <v/>
      </c>
    </row>
    <row r="17">
      <c r="B17" s="26" t="n">
        <v>46085</v>
      </c>
      <c r="C17" s="27" t="n">
        <v>46085</v>
      </c>
      <c r="D17" s="4" t="inlineStr">
        <is>
          <t>Dokumentation</t>
        </is>
      </c>
      <c r="E17" s="28" t="n">
        <v>0.3333333333333333</v>
      </c>
      <c r="F17" s="28" t="n">
        <v>0.6666666666666666</v>
      </c>
      <c r="G17" s="29">
        <f>IF(OR(ISBLANK(E17),ISBLANK(F17)),"",F17-E17)</f>
        <v/>
      </c>
    </row>
    <row r="18">
      <c r="B18" s="26" t="n">
        <v>46086</v>
      </c>
      <c r="C18" s="27" t="n">
        <v>46086</v>
      </c>
      <c r="D18" s="4" t="inlineStr">
        <is>
          <t>Besprechung</t>
        </is>
      </c>
      <c r="E18" s="28" t="n">
        <v>0.3333333333333333</v>
      </c>
      <c r="F18" s="28" t="n">
        <v>0.6666666666666666</v>
      </c>
      <c r="G18" s="29">
        <f>IF(OR(ISBLANK(E18),ISBLANK(F18)),"",F18-E18)</f>
        <v/>
      </c>
    </row>
    <row r="19">
      <c r="B19" s="26" t="n">
        <v>46087</v>
      </c>
      <c r="C19" s="27" t="n">
        <v>46087</v>
      </c>
      <c r="D19" s="4" t="inlineStr">
        <is>
          <t>Schulung</t>
        </is>
      </c>
      <c r="E19" s="28" t="n">
        <v>0.3333333333333333</v>
      </c>
      <c r="F19" s="28" t="n">
        <v>0.7083333333333334</v>
      </c>
      <c r="G19" s="29">
        <f>IF(OR(ISBLANK(E19),ISBLANK(F19)),"",F19-E19)</f>
        <v/>
      </c>
    </row>
    <row r="20">
      <c r="B20" s="26" t="n">
        <v>46088</v>
      </c>
      <c r="C20" s="27" t="n">
        <v>46088</v>
      </c>
      <c r="D20" s="4" t="n"/>
      <c r="E20" s="28" t="n"/>
      <c r="F20" s="28" t="n"/>
      <c r="G20" s="29">
        <f>IF(OR(ISBLANK(E20),ISBLANK(F20)),"",F20-E20)</f>
        <v/>
      </c>
    </row>
    <row r="21">
      <c r="B21" s="26" t="n">
        <v>46089</v>
      </c>
      <c r="C21" s="27" t="n">
        <v>46089</v>
      </c>
      <c r="D21" s="4" t="n"/>
      <c r="E21" s="28" t="n"/>
      <c r="F21" s="28" t="n"/>
      <c r="G21" s="29">
        <f>IF(OR(ISBLANK(E21),ISBLANK(F21)),"",F21-E21)</f>
        <v/>
      </c>
    </row>
    <row r="22">
      <c r="B22" s="26" t="n">
        <v>46090</v>
      </c>
      <c r="C22" s="27" t="n">
        <v>46090</v>
      </c>
      <c r="D22" s="4" t="inlineStr">
        <is>
          <t>Kundenbetreuung</t>
        </is>
      </c>
      <c r="E22" s="28" t="n">
        <v>0.3333333333333333</v>
      </c>
      <c r="F22" s="28" t="n">
        <v>0.6666666666666666</v>
      </c>
      <c r="G22" s="29">
        <f>IF(OR(ISBLANK(E22),ISBLANK(F22)),"",F22-E22)</f>
        <v/>
      </c>
    </row>
    <row r="23">
      <c r="B23" s="26" t="n">
        <v>46091</v>
      </c>
      <c r="C23" s="27" t="n">
        <v>46091</v>
      </c>
      <c r="D23" s="4" t="inlineStr">
        <is>
          <t>Außendienst</t>
        </is>
      </c>
      <c r="E23" s="28" t="n">
        <v>0.3333333333333333</v>
      </c>
      <c r="F23" s="28" t="n">
        <v>0.6666666666666666</v>
      </c>
      <c r="G23" s="29">
        <f>IF(OR(ISBLANK(E23),ISBLANK(F23)),"",F23-E23)</f>
        <v/>
      </c>
    </row>
    <row r="24">
      <c r="B24" s="26" t="n">
        <v>46092</v>
      </c>
      <c r="C24" s="27" t="n">
        <v>46092</v>
      </c>
      <c r="D24" s="4" t="inlineStr">
        <is>
          <t>Projektarbeit</t>
        </is>
      </c>
      <c r="E24" s="28" t="n">
        <v>0.3333333333333333</v>
      </c>
      <c r="F24" s="28" t="n">
        <v>0.7083333333333334</v>
      </c>
      <c r="G24" s="29">
        <f>IF(OR(ISBLANK(E24),ISBLANK(F24)),"",F24-E24)</f>
        <v/>
      </c>
    </row>
    <row r="25">
      <c r="B25" s="26" t="n">
        <v>46093</v>
      </c>
      <c r="C25" s="27" t="n">
        <v>46093</v>
      </c>
      <c r="D25" s="4" t="inlineStr">
        <is>
          <t>Dokumentation</t>
        </is>
      </c>
      <c r="E25" s="28" t="n">
        <v>0.3333333333333333</v>
      </c>
      <c r="F25" s="28" t="n">
        <v>0.6666666666666666</v>
      </c>
      <c r="G25" s="29">
        <f>IF(OR(ISBLANK(E25),ISBLANK(F25)),"",F25-E25)</f>
        <v/>
      </c>
    </row>
    <row r="26">
      <c r="B26" s="26" t="n">
        <v>46094</v>
      </c>
      <c r="C26" s="27" t="n">
        <v>46094</v>
      </c>
      <c r="D26" s="4" t="inlineStr">
        <is>
          <t>Besprechung</t>
        </is>
      </c>
      <c r="E26" s="28" t="n">
        <v>0.3333333333333333</v>
      </c>
      <c r="F26" s="28" t="n">
        <v>0.6666666666666666</v>
      </c>
      <c r="G26" s="29">
        <f>IF(OR(ISBLANK(E26),ISBLANK(F26)),"",F26-E26)</f>
        <v/>
      </c>
    </row>
    <row r="27">
      <c r="B27" s="26" t="n">
        <v>46095</v>
      </c>
      <c r="C27" s="27" t="n">
        <v>46095</v>
      </c>
      <c r="D27" s="4" t="n"/>
      <c r="E27" s="28" t="n"/>
      <c r="F27" s="28" t="n"/>
      <c r="G27" s="29">
        <f>IF(OR(ISBLANK(E27),ISBLANK(F27)),"",F27-E27)</f>
        <v/>
      </c>
    </row>
    <row r="28">
      <c r="B28" s="26" t="n">
        <v>46096</v>
      </c>
      <c r="C28" s="27" t="n">
        <v>46096</v>
      </c>
      <c r="D28" s="4" t="n"/>
      <c r="E28" s="28" t="n"/>
      <c r="F28" s="28" t="n"/>
      <c r="G28" s="29">
        <f>IF(OR(ISBLANK(E28),ISBLANK(F28)),"",F28-E28)</f>
        <v/>
      </c>
    </row>
    <row r="29">
      <c r="B29" s="26" t="n">
        <v>46097</v>
      </c>
      <c r="C29" s="27" t="n">
        <v>46097</v>
      </c>
      <c r="D29" s="4" t="inlineStr">
        <is>
          <t>Support</t>
        </is>
      </c>
      <c r="E29" s="28" t="n">
        <v>0.3333333333333333</v>
      </c>
      <c r="F29" s="28" t="n">
        <v>0.7083333333333334</v>
      </c>
      <c r="G29" s="29">
        <f>IF(OR(ISBLANK(E29),ISBLANK(F29)),"",F29-E29)</f>
        <v/>
      </c>
    </row>
    <row r="30">
      <c r="B30" s="26" t="n">
        <v>46098</v>
      </c>
      <c r="C30" s="27" t="n">
        <v>46098</v>
      </c>
      <c r="D30" s="4" t="inlineStr">
        <is>
          <t>Kundenbetreuung</t>
        </is>
      </c>
      <c r="E30" s="28" t="n">
        <v>0.3333333333333333</v>
      </c>
      <c r="F30" s="28" t="n">
        <v>0.6666666666666666</v>
      </c>
      <c r="G30" s="29">
        <f>IF(OR(ISBLANK(E30),ISBLANK(F30)),"",F30-E30)</f>
        <v/>
      </c>
    </row>
    <row r="31">
      <c r="B31" s="26" t="n">
        <v>46099</v>
      </c>
      <c r="C31" s="27" t="n">
        <v>46099</v>
      </c>
      <c r="D31" s="4" t="inlineStr">
        <is>
          <t>Außendienst</t>
        </is>
      </c>
      <c r="E31" s="28" t="n">
        <v>0.3333333333333333</v>
      </c>
      <c r="F31" s="28" t="n">
        <v>0.6666666666666666</v>
      </c>
      <c r="G31" s="29">
        <f>IF(OR(ISBLANK(E31),ISBLANK(F31)),"",F31-E31)</f>
        <v/>
      </c>
    </row>
    <row r="32">
      <c r="B32" s="26" t="n">
        <v>46100</v>
      </c>
      <c r="C32" s="27" t="n">
        <v>46100</v>
      </c>
      <c r="D32" s="4" t="inlineStr">
        <is>
          <t>Projektarbeit</t>
        </is>
      </c>
      <c r="E32" s="28" t="n">
        <v>0.3333333333333333</v>
      </c>
      <c r="F32" s="28" t="n">
        <v>0.6666666666666666</v>
      </c>
      <c r="G32" s="29">
        <f>IF(OR(ISBLANK(E32),ISBLANK(F32)),"",F32-E32)</f>
        <v/>
      </c>
    </row>
    <row r="33">
      <c r="B33" s="26" t="n">
        <v>46101</v>
      </c>
      <c r="C33" s="27" t="n">
        <v>46101</v>
      </c>
      <c r="D33" s="4" t="inlineStr">
        <is>
          <t>Dokumentation</t>
        </is>
      </c>
      <c r="E33" s="28" t="n">
        <v>0.3333333333333333</v>
      </c>
      <c r="F33" s="28" t="n">
        <v>0.6666666666666666</v>
      </c>
      <c r="G33" s="29">
        <f>IF(OR(ISBLANK(E33),ISBLANK(F33)),"",F33-E33)</f>
        <v/>
      </c>
    </row>
    <row r="34">
      <c r="B34" s="26" t="n">
        <v>46102</v>
      </c>
      <c r="C34" s="27" t="n">
        <v>46102</v>
      </c>
      <c r="D34" s="4" t="n"/>
      <c r="E34" s="28" t="n"/>
      <c r="F34" s="28" t="n"/>
      <c r="G34" s="29">
        <f>IF(OR(ISBLANK(E34),ISBLANK(F34)),"",F34-E34)</f>
        <v/>
      </c>
    </row>
    <row r="35">
      <c r="B35" s="26" t="n">
        <v>46103</v>
      </c>
      <c r="C35" s="27" t="n">
        <v>46103</v>
      </c>
      <c r="D35" s="4" t="n"/>
      <c r="E35" s="28" t="n"/>
      <c r="F35" s="28" t="n"/>
      <c r="G35" s="29">
        <f>IF(OR(ISBLANK(E35),ISBLANK(F35)),"",F35-E35)</f>
        <v/>
      </c>
    </row>
    <row r="36">
      <c r="B36" s="26" t="n">
        <v>46104</v>
      </c>
      <c r="C36" s="27" t="n">
        <v>46104</v>
      </c>
      <c r="D36" s="4" t="n"/>
      <c r="E36" s="28" t="n">
        <v>0.3333333333333333</v>
      </c>
      <c r="F36" s="28" t="n">
        <v>0.6666666666666666</v>
      </c>
      <c r="G36" s="29">
        <f>IF(OR(ISBLANK(E36),ISBLANK(F36)),"",F36-E36)</f>
        <v/>
      </c>
    </row>
    <row r="37">
      <c r="B37" s="26" t="n">
        <v>46105</v>
      </c>
      <c r="C37" s="27" t="n">
        <v>46105</v>
      </c>
      <c r="D37" s="4" t="inlineStr">
        <is>
          <t>Support</t>
        </is>
      </c>
      <c r="E37" s="28" t="n">
        <v>0.3333333333333333</v>
      </c>
      <c r="F37" s="28" t="n">
        <v>0.6666666666666666</v>
      </c>
      <c r="G37" s="29">
        <f>IF(OR(ISBLANK(E37),ISBLANK(F37)),"",F37-E37)</f>
        <v/>
      </c>
    </row>
    <row r="38">
      <c r="B38" s="26" t="n">
        <v>46106</v>
      </c>
      <c r="C38" s="27" t="n">
        <v>46106</v>
      </c>
      <c r="D38" s="4" t="inlineStr">
        <is>
          <t>Kundenbetreuung</t>
        </is>
      </c>
      <c r="E38" s="28" t="n">
        <v>0.3333333333333333</v>
      </c>
      <c r="F38" s="28" t="n">
        <v>0.6666666666666666</v>
      </c>
      <c r="G38" s="29">
        <f>IF(OR(ISBLANK(E38),ISBLANK(F38)),"",F38-E38)</f>
        <v/>
      </c>
    </row>
    <row r="39">
      <c r="B39" s="26" t="n">
        <v>46107</v>
      </c>
      <c r="C39" s="27" t="n">
        <v>46107</v>
      </c>
      <c r="D39" s="4" t="inlineStr">
        <is>
          <t>Außendienst</t>
        </is>
      </c>
      <c r="E39" s="28" t="n">
        <v>0.3333333333333333</v>
      </c>
      <c r="F39" s="28" t="n">
        <v>0.7083333333333334</v>
      </c>
      <c r="G39" s="29">
        <f>IF(OR(ISBLANK(E39),ISBLANK(F39)),"",F39-E39)</f>
        <v/>
      </c>
    </row>
    <row r="40">
      <c r="B40" s="26" t="n">
        <v>46108</v>
      </c>
      <c r="C40" s="27" t="n">
        <v>46108</v>
      </c>
      <c r="D40" s="4" t="inlineStr">
        <is>
          <t>Projektarbeit</t>
        </is>
      </c>
      <c r="E40" s="28" t="n">
        <v>0.3333333333333333</v>
      </c>
      <c r="F40" s="28" t="n">
        <v>0.6666666666666666</v>
      </c>
      <c r="G40" s="29">
        <f>IF(OR(ISBLANK(E40),ISBLANK(F40)),"",F40-E40)</f>
        <v/>
      </c>
    </row>
    <row r="41">
      <c r="B41" s="26" t="n">
        <v>46109</v>
      </c>
      <c r="C41" s="27" t="n">
        <v>46109</v>
      </c>
      <c r="D41" s="4" t="n"/>
      <c r="E41" s="28" t="n"/>
      <c r="F41" s="28" t="n"/>
      <c r="G41" s="29">
        <f>IF(OR(ISBLANK(E41),ISBLANK(F41)),"",F41-E41)</f>
        <v/>
      </c>
    </row>
    <row r="42">
      <c r="B42" s="26" t="n">
        <v>46110</v>
      </c>
      <c r="C42" s="27" t="n">
        <v>46110</v>
      </c>
      <c r="D42" s="4" t="n"/>
      <c r="E42" s="28" t="n"/>
      <c r="F42" s="28" t="n"/>
      <c r="G42" s="29">
        <f>IF(OR(ISBLANK(E42),ISBLANK(F42)),"",F42-E42)</f>
        <v/>
      </c>
    </row>
    <row r="43">
      <c r="B43" s="26" t="n">
        <v>46111</v>
      </c>
      <c r="C43" s="27" t="n">
        <v>46111</v>
      </c>
      <c r="D43" s="4" t="inlineStr">
        <is>
          <t>Schulung</t>
        </is>
      </c>
      <c r="E43" s="28" t="n">
        <v>0.3333333333333333</v>
      </c>
      <c r="F43" s="28" t="n">
        <v>0.6666666666666666</v>
      </c>
      <c r="G43" s="29">
        <f>IF(OR(ISBLANK(E43),ISBLANK(F43)),"",F43-E43)</f>
        <v/>
      </c>
    </row>
    <row r="44">
      <c r="B44" s="26" t="n">
        <v>46112</v>
      </c>
      <c r="C44" s="27" t="n">
        <v>46112</v>
      </c>
      <c r="D44" s="4" t="n"/>
      <c r="E44" s="28" t="n">
        <v>0.3333333333333333</v>
      </c>
      <c r="F44" s="28" t="n">
        <v>0.7083333333333334</v>
      </c>
      <c r="G44" s="29">
        <f>IF(OR(ISBLANK(E44),ISBLANK(F44)),"",F44-E44)</f>
        <v/>
      </c>
    </row>
    <row r="46">
      <c r="B46" s="11" t="inlineStr">
        <is>
          <t>Verständnisfrage</t>
        </is>
      </c>
      <c r="C46" s="11" t="inlineStr">
        <is>
          <t>dein Ergebnis</t>
        </is>
      </c>
      <c r="D46" s="11" t="inlineStr">
        <is>
          <t>Kontrolle</t>
        </is>
      </c>
    </row>
    <row r="47">
      <c r="B47" s="19" t="inlineStr">
        <is>
          <t>Wie viele Wochenendtage hat der Monat?</t>
        </is>
      </c>
      <c r="C47" s="30" t="n"/>
      <c r="D47" s="30" t="n"/>
      <c r="E47" s="30" t="n"/>
      <c r="F47" s="31" t="n"/>
      <c r="I47" s="22" t="n"/>
      <c r="J47" s="21">
        <f>IF(I47="","Kontrolle",IF(AND(_xlfn.ISFORMULA(I47),I47=9),"OK - richtig",IF(I47=9,"Ergebnis stimmt - bitte als Formel eingeben!","noch nicht richtig")))</f>
        <v/>
      </c>
    </row>
    <row r="48">
      <c r="B48" s="19" t="inlineStr">
        <is>
          <t>Wie viele Montage hat der Monat?</t>
        </is>
      </c>
      <c r="C48" s="30" t="n"/>
      <c r="D48" s="30" t="n"/>
      <c r="E48" s="30" t="n"/>
      <c r="F48" s="31" t="n"/>
      <c r="I48" s="22" t="n"/>
      <c r="J48" s="21">
        <f>IF(I48="","Kontrolle",IF(AND(_xlfn.ISFORMULA(I48),I48=5),"OK - richtig",IF(I48=5,"Ergebnis stimmt - bitte als Formel eingeben!","noch nicht richtig")))</f>
        <v/>
      </c>
    </row>
    <row r="49">
      <c r="B49" s="19" t="inlineStr">
        <is>
          <t>An wie vielen Werktagen fehlt die Tätigkeit?</t>
        </is>
      </c>
      <c r="C49" s="30" t="n"/>
      <c r="D49" s="30" t="n"/>
      <c r="E49" s="30" t="n"/>
      <c r="F49" s="31" t="n"/>
      <c r="I49" s="22" t="n"/>
      <c r="J49" s="21">
        <f>IF(I49="","Kontrolle",IF(AND(_xlfn.ISFORMULA(I49),I49=2),"OK - richtig",IF(I49=2,"Ergebnis stimmt - bitte als Formel eingeben!","noch nicht richtig")))</f>
        <v/>
      </c>
    </row>
  </sheetData>
  <mergeCells count="3">
    <mergeCell ref="B48:F48"/>
    <mergeCell ref="B49:F49"/>
    <mergeCell ref="B47:F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B1:D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100" customWidth="1" min="4" max="4"/>
  </cols>
  <sheetData>
    <row r="1" ht="22" customHeight="1">
      <c r="B1" s="1" t="inlineStr">
        <is>
          <t>Lösungen</t>
        </is>
      </c>
    </row>
    <row r="2">
      <c r="B2" s="14" t="inlineStr">
        <is>
          <t>Nur nachsehen, wenn du wirklich nicht weiterkommst!</t>
        </is>
      </c>
    </row>
    <row r="4">
      <c r="B4" s="11" t="inlineStr">
        <is>
          <t>Arbeitsblatt</t>
        </is>
      </c>
      <c r="C4" s="11" t="inlineStr">
        <is>
          <t>Aufgabe</t>
        </is>
      </c>
      <c r="D4" s="11" t="inlineStr">
        <is>
          <t>Lösung</t>
        </is>
      </c>
    </row>
    <row r="5" ht="26" customHeight="1">
      <c r="B5" s="32" t="inlineStr">
        <is>
          <t>1 Vorlagen</t>
        </is>
      </c>
      <c r="C5" s="13" t="inlineStr">
        <is>
          <t>Datenbalken/Farbskala/Symbolsatz</t>
        </is>
      </c>
      <c r="D5" s="33" t="inlineStr">
        <is>
          <t>Start - Formatvorlagen - Bedingte Formatierung - Datenbalken / Farbskalen / Symbolsätze</t>
        </is>
      </c>
    </row>
    <row r="6" ht="13" customHeight="1">
      <c r="B6" s="32" t="inlineStr"/>
      <c r="C6" s="13" t="inlineStr">
        <is>
          <t>Kennzahlen</t>
        </is>
      </c>
      <c r="D6" s="33" t="inlineStr">
        <is>
          <t>MIN = 21   MAX = 134   MITTELWERT = 77.50</t>
        </is>
      </c>
    </row>
    <row r="7" ht="13" customHeight="1">
      <c r="B7" s="32" t="inlineStr">
        <is>
          <t>2 Regelvorlagen</t>
        </is>
      </c>
      <c r="C7" s="13" t="inlineStr">
        <is>
          <t>Drei Schwellen</t>
        </is>
      </c>
      <c r="D7" s="33" t="inlineStr">
        <is>
          <t>Drei Regeln vom Typ Größer als: 100 hellrot, 80 gelb, 50 grün - in dieser Reihenfolge</t>
        </is>
      </c>
    </row>
    <row r="8" ht="26" customHeight="1">
      <c r="B8" s="32" t="inlineStr"/>
      <c r="C8" s="13" t="inlineStr">
        <is>
          <t>Verständnisfragen</t>
        </is>
      </c>
      <c r="D8" s="33" t="inlineStr">
        <is>
          <t>=ZÄHLENWENN(C..:J..;"&gt;100") = 27   |   =ZÄHLENWENNS(...;"&gt;=51";...;"&lt;=80") = 28   |   =ZÄHLENWENN(...;"&lt;=50") = 23</t>
        </is>
      </c>
    </row>
    <row r="9" ht="26" customHeight="1">
      <c r="B9" s="32" t="inlineStr">
        <is>
          <t>3 Farbskala</t>
        </is>
      </c>
      <c r="C9" s="13" t="inlineStr">
        <is>
          <t>3-Farben-Skala</t>
        </is>
      </c>
      <c r="D9" s="33" t="inlineStr">
        <is>
          <t>Neue Regel - Alle Zellen basierend auf Werten - 3-Farben-Skala; Mittelpunkt Typ Zahl, Wert =$C$6</t>
        </is>
      </c>
    </row>
    <row r="10" ht="13" customHeight="1">
      <c r="B10" s="32" t="inlineStr"/>
      <c r="C10" s="13" t="inlineStr">
        <is>
          <t>Verständnisfragen</t>
        </is>
      </c>
      <c r="D10" s="33" t="inlineStr">
        <is>
          <t>&gt;18 Grad: 28   |   MAX: 35   |   MIN: -2   |   Irland &gt;15 Grad: 4</t>
        </is>
      </c>
    </row>
    <row r="11" ht="26" customHeight="1">
      <c r="B11" s="32" t="inlineStr">
        <is>
          <t>4 Eigene Regeln</t>
        </is>
      </c>
      <c r="C11" s="13" t="inlineStr">
        <is>
          <t>Ganze Zeile bei Budgetüberschreitung</t>
        </is>
      </c>
      <c r="D11" s="33" t="inlineStr">
        <is>
          <t>=$E7&gt;$D7  auf den Bereich B7:F14</t>
        </is>
      </c>
    </row>
    <row r="12" ht="13" customHeight="1">
      <c r="B12" s="32" t="inlineStr"/>
      <c r="C12" s="13" t="inlineStr">
        <is>
          <t>Ganze Zeile bei Status</t>
        </is>
      </c>
      <c r="D12" s="33" t="inlineStr">
        <is>
          <t>=$F7="abgeschlossen"</t>
        </is>
      </c>
    </row>
    <row r="13" ht="13" customHeight="1">
      <c r="B13" s="32" t="inlineStr"/>
      <c r="C13" s="13" t="inlineStr">
        <is>
          <t>Zebrastreifen</t>
        </is>
      </c>
      <c r="D13" s="33" t="inlineStr">
        <is>
          <t>=REST(ZEILE();2)=0</t>
        </is>
      </c>
    </row>
    <row r="14" ht="13" customHeight="1">
      <c r="B14" s="32" t="inlineStr"/>
      <c r="C14" s="13" t="inlineStr">
        <is>
          <t>Leere Zellen</t>
        </is>
      </c>
      <c r="D14" s="33" t="inlineStr">
        <is>
          <t>=ISTLEER(E7)</t>
        </is>
      </c>
    </row>
    <row r="15" ht="13" customHeight="1">
      <c r="B15" s="32" t="inlineStr"/>
      <c r="C15" s="13" t="inlineStr">
        <is>
          <t>Verständnisfragen</t>
        </is>
      </c>
      <c r="D15" s="33" t="inlineStr">
        <is>
          <t>über Budget: 4   |   abgeschlossen: 4   |   Überschreitung gesamt: 32000 EUR</t>
        </is>
      </c>
    </row>
    <row r="16" ht="13" customHeight="1">
      <c r="B16" s="32" t="inlineStr">
        <is>
          <t>5 Regeln verwalten</t>
        </is>
      </c>
      <c r="C16" s="13" t="inlineStr">
        <is>
          <t>Reihenfolge</t>
        </is>
      </c>
      <c r="D16" s="33" t="inlineStr">
        <is>
          <t>Regeln verwalten - Pfeile nach oben/unten; die oberste zutreffende Regel gewinnt</t>
        </is>
      </c>
    </row>
    <row r="17" ht="13" customHeight="1">
      <c r="B17" s="32" t="inlineStr"/>
      <c r="C17" s="13" t="inlineStr">
        <is>
          <t>Geltungsbereich</t>
        </is>
      </c>
      <c r="D17" s="33" t="inlineStr">
        <is>
          <t>Regeln verwalten - Formatierungsregeln anzeigen für - Dieses Arbeitsblatt</t>
        </is>
      </c>
    </row>
    <row r="18" ht="13" customHeight="1">
      <c r="B18" s="32" t="inlineStr"/>
      <c r="C18" s="13" t="inlineStr">
        <is>
          <t>Alle Regeln löschen</t>
        </is>
      </c>
      <c r="D18" s="33" t="inlineStr">
        <is>
          <t>Bedingte Formatierung - Regeln löschen - Regeln in gesamtem Blatt löschen</t>
        </is>
      </c>
    </row>
    <row r="19" ht="13" customHeight="1">
      <c r="B19" s="32" t="inlineStr">
        <is>
          <t>6 Stundenzettel</t>
        </is>
      </c>
      <c r="C19" s="13" t="inlineStr">
        <is>
          <t>Wochenenden grau</t>
        </is>
      </c>
      <c r="D19" s="33" t="inlineStr">
        <is>
          <t>=WOCHENTAG($C14;2)&gt;5   auf den Bereich B14:G44</t>
        </is>
      </c>
    </row>
    <row r="20" ht="13" customHeight="1">
      <c r="B20" s="32" t="inlineStr"/>
      <c r="C20" s="13" t="inlineStr">
        <is>
          <t>Wochenwechsel</t>
        </is>
      </c>
      <c r="D20" s="33" t="inlineStr">
        <is>
          <t>=WOCHENTAG($C14;2)=1   Format: nur obere Rahmenlinie</t>
        </is>
      </c>
    </row>
    <row r="21" ht="13" customHeight="1">
      <c r="B21" s="32" t="inlineStr"/>
      <c r="C21" s="13" t="inlineStr">
        <is>
          <t>Fehlende Tätigkeit</t>
        </is>
      </c>
      <c r="D21" s="33" t="inlineStr">
        <is>
          <t>=UND(ISTLEER($D14);WOCHENTAG($C14;2)&lt;=5)</t>
        </is>
      </c>
    </row>
    <row r="22" ht="13" customHeight="1">
      <c r="B22" s="32" t="inlineStr"/>
      <c r="C22" s="13" t="inlineStr">
        <is>
          <t>Mehr als 8 Stunden</t>
        </is>
      </c>
      <c r="D22" s="33" t="inlineStr">
        <is>
          <t>Regel Größer als mit dem Wert 8:00 auf die Spalte Dauer</t>
        </is>
      </c>
    </row>
    <row r="23" ht="13" customHeight="1">
      <c r="B23" s="32" t="inlineStr"/>
      <c r="C23" s="13" t="inlineStr">
        <is>
          <t>Verständnisfragen</t>
        </is>
      </c>
      <c r="D23" s="33" t="inlineStr">
        <is>
          <t>Wochenendtage: 9   |   Montage: 5   |   Tätigkeit fehlt: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2026-08-21T07:34:41Z</dcterms:created>
  <dcterms:modified xsi:type="dcterms:W3CDTF">2026-08-21T07:34:41Z</dcterms:modified>
</cp:coreProperties>
</file>