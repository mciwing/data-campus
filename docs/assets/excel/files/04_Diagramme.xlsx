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1 Säulendiagramm" sheetId="2" state="visible" r:id="rId2"/>
    <sheet name="Zielbild 1" sheetId="3" state="visible" r:id="rId3"/>
    <sheet name="2 Verbunddiagramm" sheetId="4" state="visible" r:id="rId4"/>
    <sheet name="Zielbild 2" sheetId="5" state="visible" r:id="rId5"/>
    <sheet name="3 Weitere Typen" sheetId="6" state="visible" r:id="rId6"/>
    <sheet name="Lösung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yyyy-mm-dd"/>
    <numFmt numFmtId="166" formatCode="DD.MM."/>
  </numFmts>
  <fonts count="10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2E75B6"/>
      <sz val="12"/>
    </font>
    <font>
      <b val="1"/>
      <color rgb="00FFFFFF"/>
      <sz val="11"/>
    </font>
    <font>
      <b val="1"/>
    </font>
    <font>
      <i val="1"/>
      <color rgb="00595959"/>
      <sz val="10"/>
    </font>
    <font>
      <color rgb="00375623"/>
      <sz val="10"/>
    </font>
    <font>
      <b val="1"/>
      <sz val="11"/>
    </font>
    <font>
      <name val="Consolas"/>
      <sz val="10"/>
    </font>
  </fonts>
  <fills count="9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FFC7CE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1" pivotButton="0" quotePrefix="0" xfId="0"/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4" fillId="8" borderId="2" applyAlignment="1" pivotButton="0" quotePrefix="0" xfId="0">
      <alignment horizontal="center" vertical="center" wrapText="1"/>
    </xf>
    <xf numFmtId="0" fontId="5" fillId="0" borderId="2" pivotButton="0" quotePrefix="0" xfId="0"/>
    <xf numFmtId="0" fontId="0" fillId="0" borderId="2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3" borderId="2" pivotButton="0" quotePrefix="0" xfId="0"/>
    <xf numFmtId="3" fontId="0" fillId="3" borderId="2" pivotButton="0" quotePrefix="0" xfId="0"/>
    <xf numFmtId="164" fontId="0" fillId="3" borderId="2" pivotButton="0" quotePrefix="0" xfId="0"/>
    <xf numFmtId="3" fontId="0" fillId="0" borderId="2" pivotButton="0" quotePrefix="0" xfId="0"/>
    <xf numFmtId="0" fontId="0" fillId="0" borderId="0" applyAlignment="1" pivotButton="0" quotePrefix="0" xfId="0">
      <alignment vertical="top" wrapText="1"/>
    </xf>
    <xf numFmtId="0" fontId="0" fillId="0" borderId="2" pivotButton="0" quotePrefix="0" xfId="0"/>
    <xf numFmtId="164" fontId="0" fillId="2" borderId="1" pivotButton="0" quotePrefix="0" xfId="0"/>
    <xf numFmtId="0" fontId="7" fillId="0" borderId="0" pivotButton="0" quotePrefix="0" xfId="0"/>
    <xf numFmtId="3" fontId="0" fillId="2" borderId="1" pivotButton="0" quotePrefix="0" xfId="0"/>
    <xf numFmtId="166" fontId="0" fillId="3" borderId="2" pivotButton="0" quotePrefix="0" xfId="0"/>
    <xf numFmtId="4" fontId="0" fillId="0" borderId="2" pivotButton="0" quotePrefix="0" xfId="0"/>
    <xf numFmtId="4" fontId="0" fillId="2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2" applyAlignment="1" pivotButton="0" quotePrefix="0" xfId="0">
      <alignment vertical="top"/>
    </xf>
    <xf numFmtId="0" fontId="9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Bevölkerung 2018 [Mio.]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'Zielbild 1'!C4</f>
            </strRef>
          </tx>
          <spPr>
            <a:ln>
              <a:prstDash val="solid"/>
            </a:ln>
          </spPr>
          <cat>
            <numRef>
              <f>'Zielbild 1'!$B$5:$B$20</f>
            </numRef>
          </cat>
          <val>
            <numRef>
              <f>'Zielbild 1'!$C$5:$C$20</f>
            </numRef>
          </val>
        </ser>
        <dLbls>
          <showVal val="1"/>
        </dLbls>
        <gapWidth val="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Umsatzentwicklung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'Zielbild 2'!C4</f>
            </strRef>
          </tx>
          <spPr>
            <a:ln>
              <a:prstDash val="solid"/>
            </a:ln>
          </spPr>
          <cat>
            <numRef>
              <f>'Zielbild 2'!$B$5:$B$24</f>
            </numRef>
          </cat>
          <val>
            <numRef>
              <f>'Zielbild 2'!$C$5:$C$24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'Zielbild 2'!D4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val>
            <numRef>
              <f>'Zielbild 2'!$D$5:$D$24</f>
            </numRef>
          </val>
          <smooth val="0"/>
        </ser>
        <dLbls>
          <dLblPos val="t"/>
          <showVal val="1"/>
        </dLbls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  <crosses val="autoZero"/>
      </valAx>
      <valAx>
        <axId val="200"/>
        <scaling>
          <orientation val="minMax"/>
        </scaling>
        <delete val="1"/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1:C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5" customWidth="1" min="2" max="2"/>
    <col width="80" customWidth="1" min="3" max="3"/>
  </cols>
  <sheetData>
    <row r="1" ht="22" customHeight="1">
      <c r="B1" s="1" t="inlineStr">
        <is>
          <t>Übung 04_Diagramme.xlsx  -  Diagramme</t>
        </is>
      </c>
    </row>
    <row r="4" ht="56" customHeight="1">
      <c r="B4" s="2" t="inlineStr">
        <is>
          <t>In dieser Übung baust du zwei Diagramme Schritt für Schritt auf. Zu jeder Aufgabe gibt es ein Blatt "Zielbild" mit dem fertigen Diagramm - klicke es an und sieh dir in den Formatierungsoptionen an, wie es eingestellt ist, wenn du nicht weiterkommst.</t>
        </is>
      </c>
    </row>
    <row r="6">
      <c r="B6" s="3" t="inlineStr">
        <is>
          <t>So arbeitest du mit der Datei</t>
        </is>
      </c>
    </row>
    <row r="7" ht="14" customHeight="1">
      <c r="B7" s="2" t="inlineStr">
        <is>
          <t>1.  Lies die Aufgabe in Spalte B.</t>
        </is>
      </c>
    </row>
    <row r="8" ht="14" customHeight="1">
      <c r="B8" s="2" t="inlineStr">
        <is>
          <t>2.  Trage deine Lösung in die gelb hinterlegte Zelle ein.</t>
        </is>
      </c>
    </row>
    <row r="9" ht="28" customHeight="1">
      <c r="B9" s="2" t="inlineStr">
        <is>
          <t>3.  Wo eine Kontrollspalte steht, prüft sie deine Eingabe automatisch.</t>
        </is>
      </c>
    </row>
    <row r="10" ht="42" customHeight="1">
      <c r="B10" s="2" t="inlineStr">
        <is>
          <t>4.  Aufgaben zu Formatierung, Ansicht oder Schutz kann Excel nicht selbst prüfen - dort siehst du das Ergebnis direkt am Bildschirm bzw. vergleichst mit dem Zielbild.</t>
        </is>
      </c>
    </row>
    <row r="11" ht="28" customHeight="1">
      <c r="B11" s="2" t="inlineStr">
        <is>
          <t>5.  Kommst du nicht weiter: das Arbeitsblatt "Lösungen" ganz rechts zeigt den Weg.</t>
        </is>
      </c>
    </row>
    <row r="13">
      <c r="B13" s="3" t="inlineStr">
        <is>
          <t>Legende</t>
        </is>
      </c>
    </row>
    <row r="14">
      <c r="B14" s="4" t="inlineStr"/>
      <c r="C14" s="5" t="inlineStr">
        <is>
          <t>Hier bist du dran - Wert, Formel oder Formatierung eintragen</t>
        </is>
      </c>
    </row>
    <row r="15">
      <c r="B15" s="6" t="inlineStr"/>
      <c r="C15" s="5" t="inlineStr">
        <is>
          <t>Vorgegebene Daten - nicht verändern</t>
        </is>
      </c>
    </row>
    <row r="16">
      <c r="B16" s="7" t="inlineStr"/>
      <c r="C16" s="5" t="inlineStr">
        <is>
          <t>Startpunkt / Quelle einer Aktion</t>
        </is>
      </c>
    </row>
    <row r="17">
      <c r="B17" s="8" t="inlineStr"/>
      <c r="C17" s="5" t="inlineStr">
        <is>
          <t>Zielbereich einer Aktion</t>
        </is>
      </c>
    </row>
    <row r="18">
      <c r="B18" s="9" t="inlineStr"/>
      <c r="C18" s="5" t="inlineStr">
        <is>
          <t>Markierung für Struktur-Übungen (Zeilen, Spalten, Blätter)</t>
        </is>
      </c>
    </row>
    <row r="19">
      <c r="B19" s="10" t="inlineStr"/>
      <c r="C19" s="5" t="inlineStr">
        <is>
          <t>Dieser Bereich soll gelöscht oder korrigiert werden</t>
        </is>
      </c>
    </row>
    <row r="21">
      <c r="B21" s="3" t="inlineStr">
        <is>
          <t>Inhalt der Übung</t>
        </is>
      </c>
    </row>
    <row r="22">
      <c r="B22" s="11" t="inlineStr">
        <is>
          <t>Arbeitsblatt</t>
        </is>
      </c>
      <c r="C22" s="11" t="inlineStr">
        <is>
          <t>Inhalt</t>
        </is>
      </c>
    </row>
    <row r="23">
      <c r="B23" s="12" t="inlineStr">
        <is>
          <t>1 Säulendiagramm</t>
        </is>
      </c>
      <c r="C23" s="13" t="inlineStr">
        <is>
          <t>Ein Säulendiagramm von Grund auf aufbauen und formatieren</t>
        </is>
      </c>
    </row>
    <row r="24">
      <c r="B24" s="12" t="inlineStr">
        <is>
          <t>Zielbild 1</t>
        </is>
      </c>
      <c r="C24" s="13" t="inlineStr">
        <is>
          <t>So soll das Säulendiagramm aussehen - fertig zum Vergleichen</t>
        </is>
      </c>
    </row>
    <row r="25">
      <c r="B25" s="12" t="inlineStr">
        <is>
          <t>2 Verbunddiagramm</t>
        </is>
      </c>
      <c r="C25" s="13" t="inlineStr">
        <is>
          <t>Zwei Datenreihen mit unterschiedlichen Größenordnungen</t>
        </is>
      </c>
    </row>
    <row r="26">
      <c r="B26" s="12" t="inlineStr">
        <is>
          <t>Zielbild 2</t>
        </is>
      </c>
      <c r="C26" s="13" t="inlineStr">
        <is>
          <t>So soll das Verbunddiagramm aussehen</t>
        </is>
      </c>
    </row>
    <row r="27">
      <c r="B27" s="12" t="inlineStr">
        <is>
          <t>3 Weitere Typen</t>
        </is>
      </c>
      <c r="C27" s="13" t="inlineStr">
        <is>
          <t>Kreis-, Linien- und Punktdiagramm - wann passt welcher Typ?</t>
        </is>
      </c>
    </row>
    <row r="29" ht="42" customHeight="1">
      <c r="B29" s="14" t="inlineStr">
        <is>
          <t>Nützlich: Mit ALT + F10 öffnest du den Auswahlbereich mit allen Objekten des Blattes - dort kannst du Diagramme umbenennen sowie ein- und ausblenden.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B1:H42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8" customWidth="1" min="4" max="4"/>
    <col width="18" customWidth="1" min="5" max="5"/>
    <col width="16" customWidth="1" min="6" max="6"/>
    <col width="16" customWidth="1" min="7" max="7"/>
    <col width="46" customWidth="1" min="8" max="8"/>
  </cols>
  <sheetData>
    <row r="1" ht="22" customHeight="1">
      <c r="B1" s="1" t="inlineStr">
        <is>
          <t>1  Säulendiagramm</t>
        </is>
      </c>
    </row>
    <row r="2">
      <c r="B2" s="15" t="inlineStr">
        <is>
          <t>Kapitel: Visualisierung - Diagramme</t>
        </is>
      </c>
    </row>
    <row r="4">
      <c r="B4" s="11" t="inlineStr">
        <is>
          <t>Land</t>
        </is>
      </c>
      <c r="C4" s="11" t="inlineStr">
        <is>
          <t>Kürzel</t>
        </is>
      </c>
      <c r="D4" s="11" t="inlineStr">
        <is>
          <t>Bevölkerung 2018</t>
        </is>
      </c>
      <c r="E4" s="11" t="inlineStr">
        <is>
          <t>BIP [Mrd. $]</t>
        </is>
      </c>
      <c r="F4" s="11" t="inlineStr">
        <is>
          <t>Bevölkerung [Mio.]</t>
        </is>
      </c>
    </row>
    <row r="5">
      <c r="B5" s="16" t="inlineStr">
        <is>
          <t>China</t>
        </is>
      </c>
      <c r="C5" s="16" t="inlineStr">
        <is>
          <t>CN</t>
        </is>
      </c>
      <c r="D5" s="17" t="n">
        <v>1389939000</v>
      </c>
      <c r="E5" s="18" t="n">
        <v>13576.047</v>
      </c>
      <c r="F5" s="19">
        <f>D5/1000000</f>
        <v/>
      </c>
    </row>
    <row r="6">
      <c r="B6" s="16" t="inlineStr">
        <is>
          <t>Indien</t>
        </is>
      </c>
      <c r="C6" s="16" t="inlineStr">
        <is>
          <t>IN</t>
        </is>
      </c>
      <c r="D6" s="17" t="n">
        <v>1344401000</v>
      </c>
      <c r="E6" s="18" t="n">
        <v>2695.183</v>
      </c>
      <c r="F6" s="19">
        <f>D6/1000000</f>
        <v/>
      </c>
    </row>
    <row r="7">
      <c r="B7" s="16" t="inlineStr">
        <is>
          <t>USA</t>
        </is>
      </c>
      <c r="C7" s="16" t="inlineStr">
        <is>
          <t>US</t>
        </is>
      </c>
      <c r="D7" s="17" t="n">
        <v>328386000</v>
      </c>
      <c r="E7" s="18" t="n">
        <v>20250.829</v>
      </c>
      <c r="F7" s="19">
        <f>D7/1000000</f>
        <v/>
      </c>
    </row>
    <row r="8">
      <c r="B8" s="16" t="inlineStr">
        <is>
          <t>Russland</t>
        </is>
      </c>
      <c r="C8" s="16" t="inlineStr">
        <is>
          <t>RU</t>
        </is>
      </c>
      <c r="D8" s="17" t="n">
        <v>143261000</v>
      </c>
      <c r="E8" s="18" t="n">
        <v>1530.246</v>
      </c>
      <c r="F8" s="19">
        <f>D8/1000000</f>
        <v/>
      </c>
    </row>
    <row r="9">
      <c r="B9" s="16" t="inlineStr">
        <is>
          <t>Japan</t>
        </is>
      </c>
      <c r="C9" s="16" t="inlineStr">
        <is>
          <t>JP</t>
        </is>
      </c>
      <c r="D9" s="17" t="n">
        <v>125880000</v>
      </c>
      <c r="E9" s="18" t="n">
        <v>5230.423</v>
      </c>
      <c r="F9" s="19">
        <f>D9/1000000</f>
        <v/>
      </c>
    </row>
    <row r="10">
      <c r="B10" s="16" t="inlineStr">
        <is>
          <t>Deutschland</t>
        </is>
      </c>
      <c r="C10" s="16" t="inlineStr">
        <is>
          <t>DE</t>
        </is>
      </c>
      <c r="D10" s="17" t="n">
        <v>83070000</v>
      </c>
      <c r="E10" s="18" t="n">
        <v>3736.315</v>
      </c>
      <c r="F10" s="19">
        <f>D10/1000000</f>
        <v/>
      </c>
    </row>
    <row r="11">
      <c r="B11" s="16" t="inlineStr">
        <is>
          <t>Türkei</t>
        </is>
      </c>
      <c r="C11" s="16" t="inlineStr">
        <is>
          <t>TR</t>
        </is>
      </c>
      <c r="D11" s="17" t="n">
        <v>80550000</v>
      </c>
      <c r="E11" s="18" t="n">
        <v>811.927</v>
      </c>
      <c r="F11" s="19">
        <f>D11/1000000</f>
        <v/>
      </c>
    </row>
    <row r="12">
      <c r="B12" s="16" t="inlineStr">
        <is>
          <t>Thailand</t>
        </is>
      </c>
      <c r="C12" s="16" t="inlineStr">
        <is>
          <t>TH</t>
        </is>
      </c>
      <c r="D12" s="17" t="n">
        <v>69182000</v>
      </c>
      <c r="E12" s="18" t="n">
        <v>417.385</v>
      </c>
      <c r="F12" s="19">
        <f>D12/1000000</f>
        <v/>
      </c>
    </row>
    <row r="13">
      <c r="B13" s="16" t="inlineStr">
        <is>
          <t>Großbritannien</t>
        </is>
      </c>
      <c r="C13" s="16" t="inlineStr">
        <is>
          <t>UK</t>
        </is>
      </c>
      <c r="D13" s="17" t="n">
        <v>66487000</v>
      </c>
      <c r="E13" s="18" t="n">
        <v>2709.19</v>
      </c>
      <c r="F13" s="19">
        <f>D13/1000000</f>
        <v/>
      </c>
    </row>
    <row r="14">
      <c r="B14" s="16" t="inlineStr">
        <is>
          <t>Frankreich</t>
        </is>
      </c>
      <c r="C14" s="16" t="inlineStr">
        <is>
          <t>FR</t>
        </is>
      </c>
      <c r="D14" s="17" t="n">
        <v>65162000</v>
      </c>
      <c r="E14" s="18" t="n">
        <v>2649.551</v>
      </c>
      <c r="F14" s="19">
        <f>D14/1000000</f>
        <v/>
      </c>
    </row>
    <row r="15">
      <c r="B15" s="16" t="inlineStr">
        <is>
          <t>Italien</t>
        </is>
      </c>
      <c r="C15" s="16" t="inlineStr">
        <is>
          <t>IT</t>
        </is>
      </c>
      <c r="D15" s="17" t="n">
        <v>61555000</v>
      </c>
      <c r="E15" s="18" t="n">
        <v>1941.899</v>
      </c>
      <c r="F15" s="19">
        <f>D15/1000000</f>
        <v/>
      </c>
    </row>
    <row r="16">
      <c r="B16" s="16" t="inlineStr">
        <is>
          <t>Kolumbien</t>
        </is>
      </c>
      <c r="C16" s="16" t="inlineStr">
        <is>
          <t>CO</t>
        </is>
      </c>
      <c r="D16" s="17" t="n">
        <v>49863000</v>
      </c>
      <c r="E16" s="18" t="n">
        <v>325.195</v>
      </c>
      <c r="F16" s="19">
        <f>D16/1000000</f>
        <v/>
      </c>
    </row>
    <row r="17">
      <c r="B17" s="16" t="inlineStr">
        <is>
          <t>Spanien</t>
        </is>
      </c>
      <c r="C17" s="16" t="inlineStr">
        <is>
          <t>ES</t>
        </is>
      </c>
      <c r="D17" s="17" t="n">
        <v>46224000</v>
      </c>
      <c r="E17" s="18" t="n">
        <v>1348.509</v>
      </c>
      <c r="F17" s="19">
        <f>D17/1000000</f>
        <v/>
      </c>
    </row>
    <row r="18">
      <c r="B18" s="16" t="inlineStr">
        <is>
          <t>Nepal</t>
        </is>
      </c>
      <c r="C18" s="16" t="inlineStr">
        <is>
          <t>NP</t>
        </is>
      </c>
      <c r="D18" s="17" t="n">
        <v>29508000</v>
      </c>
      <c r="E18" s="18" t="n">
        <v>25.936</v>
      </c>
      <c r="F18" s="19">
        <f>D18/1000000</f>
        <v/>
      </c>
    </row>
    <row r="19">
      <c r="B19" s="16" t="inlineStr">
        <is>
          <t>Niederlande</t>
        </is>
      </c>
      <c r="C19" s="16" t="inlineStr">
        <is>
          <t>NL</t>
        </is>
      </c>
      <c r="D19" s="17" t="n">
        <v>17116000</v>
      </c>
      <c r="E19" s="18" t="n">
        <v>828.468</v>
      </c>
      <c r="F19" s="19">
        <f>D19/1000000</f>
        <v/>
      </c>
    </row>
    <row r="20">
      <c r="B20" s="16" t="inlineStr">
        <is>
          <t>Österreich</t>
        </is>
      </c>
      <c r="C20" s="16" t="inlineStr">
        <is>
          <t>AT</t>
        </is>
      </c>
      <c r="D20" s="17" t="n">
        <v>8840000</v>
      </c>
      <c r="E20" s="18" t="n">
        <v>455.737</v>
      </c>
      <c r="F20" s="19">
        <f>D20/1000000</f>
        <v/>
      </c>
    </row>
    <row r="23">
      <c r="B23" s="3" t="inlineStr">
        <is>
          <t>Arbeite die folgenden Schritte der Reihe nach ab</t>
        </is>
      </c>
    </row>
    <row r="24" ht="42" customHeight="1">
      <c r="B24" s="20" t="inlineStr">
        <is>
          <t xml:space="preserve"> 1.  Markiere die Spalten Land und Bevölkerung 2018 und füge ein gruppiertes Säulendiagramm ein (Einfügen - Diagramme).</t>
        </is>
      </c>
    </row>
    <row r="25" ht="42" customHeight="1">
      <c r="B25" s="20" t="inlineStr">
        <is>
          <t xml:space="preserve"> 2.  Stelle die Anzeigeeinheiten der Größenachse auf Millionen um (Achse anklicken - Achse formatieren - Anzeigeeinheiten).</t>
        </is>
      </c>
    </row>
    <row r="26" ht="28" customHeight="1">
      <c r="B26" s="20" t="inlineStr">
        <is>
          <t xml:space="preserve"> 3.  Blende die Größenachse anschließend aus: Beschriftungsoption Ohne, Linie Keine.</t>
        </is>
      </c>
    </row>
    <row r="27" ht="28" customHeight="1">
      <c r="B27" s="20" t="inlineStr">
        <is>
          <t xml:space="preserve"> 4.  Füge Datenbeschriftungen hinzu (Diagrammelement hinzufügen - Datenbeschriftungen - Außerhalb).</t>
        </is>
      </c>
    </row>
    <row r="28" ht="28" customHeight="1">
      <c r="B28" s="20" t="inlineStr">
        <is>
          <t xml:space="preserve"> 5.  Mache die Säulen breiter: Datenreihe formatieren - Abstandsbreite 50 %.</t>
        </is>
      </c>
    </row>
    <row r="29" ht="14" customHeight="1">
      <c r="B29" s="20" t="inlineStr">
        <is>
          <t xml:space="preserve"> 6.  Entferne die horizontalen Hilfsgitternetzlinien.</t>
        </is>
      </c>
    </row>
    <row r="30" ht="28" customHeight="1">
      <c r="B30" s="20" t="inlineStr">
        <is>
          <t xml:space="preserve"> 7.  Mache den Diagrammrahmen durchsichtig: Diagrammbereich formatieren - Rahmen - Keine Linie.</t>
        </is>
      </c>
    </row>
    <row r="31" ht="28" customHeight="1">
      <c r="B31" s="20" t="inlineStr">
        <is>
          <t xml:space="preserve"> 8.  Ziehe den Zeichnungsbereich auf, sodass der Platz gut genutzt wird.</t>
        </is>
      </c>
    </row>
    <row r="32" ht="14" customHeight="1">
      <c r="B32" s="20" t="inlineStr">
        <is>
          <t xml:space="preserve"> 9.  Ändere den Diagrammtitel auf  Bevölkerung 2018 [Mio.]</t>
        </is>
      </c>
    </row>
    <row r="33" ht="28" customHeight="1">
      <c r="B33" s="20" t="inlineStr">
        <is>
          <t>10.  Stelle die Größe exakt ein: Höhe 8 cm, Breite 18 cm (Diagrammbereich formatieren - Größe).</t>
        </is>
      </c>
    </row>
    <row r="34" ht="28" customHeight="1">
      <c r="B34" s="20" t="inlineStr">
        <is>
          <t>11.  Stelle unter Eigenschaften auf Von Zellposition und -größe unabhängig.</t>
        </is>
      </c>
    </row>
    <row r="35" ht="28" customHeight="1">
      <c r="B35" s="20" t="inlineStr">
        <is>
          <t>12.  Verschiebe das Diagramm mit gedrückter ALT-Taste - es rastet am Gitternetz ein.</t>
        </is>
      </c>
    </row>
    <row r="36" ht="28" customHeight="1">
      <c r="B36" s="20" t="inlineStr">
        <is>
          <t>13.  Öffne mit ALT + F10 den Auswahlbereich und benenne das Diagramm in Bevoelkerung um.</t>
        </is>
      </c>
    </row>
    <row r="37" ht="14" customHeight="1">
      <c r="B37" s="20" t="inlineStr">
        <is>
          <t>14.  Vergleiche dein Ergebnis mit dem Blatt "Zielbild 1".</t>
        </is>
      </c>
    </row>
    <row r="39">
      <c r="B39" s="11" t="inlineStr">
        <is>
          <t>Verständnisfrage</t>
        </is>
      </c>
      <c r="C39" s="11" t="inlineStr">
        <is>
          <t>dein Ergebnis</t>
        </is>
      </c>
      <c r="D39" s="11" t="inlineStr">
        <is>
          <t>Kontrolle</t>
        </is>
      </c>
    </row>
    <row r="40">
      <c r="B40" s="21" t="inlineStr">
        <is>
          <t>Bevölkerung aller Länder zusammen in Millionen</t>
        </is>
      </c>
      <c r="G40" s="22" t="n"/>
      <c r="H40" s="23">
        <f>IF(G40="","Kontrolle",IF(AND(_xlfn.ISFORMULA(G40),ABS(G40-3909.424)&lt;0.05),"OK - richtig",IF(ABS(G40-3909.424)&lt;0.05,"Ergebnis stimmt - bitte als Formel eingeben!","noch nicht richtig")))</f>
        <v/>
      </c>
    </row>
    <row r="41">
      <c r="B41" s="21" t="inlineStr">
        <is>
          <t>Größter Wert in Millionen</t>
        </is>
      </c>
      <c r="G41" s="22" t="n"/>
      <c r="H41" s="23">
        <f>IF(G41="","Kontrolle",IF(AND(_xlfn.ISFORMULA(G41),ABS(G41-1389.939)&lt;0.05),"OK - richtig",IF(ABS(G41-1389.939)&lt;0.05,"Ergebnis stimmt - bitte als Formel eingeben!","noch nicht richtig")))</f>
        <v/>
      </c>
    </row>
    <row r="42">
      <c r="B42" s="21" t="inlineStr">
        <is>
          <t>Anzahl der Länder mit mehr als 100 Millionen Einwohnern</t>
        </is>
      </c>
      <c r="G42" s="24" t="n"/>
      <c r="H42" s="23">
        <f>IF(G42="","Kontrolle",IF(AND(_xlfn.ISFORMULA(G42),ABS(G42-5)&lt;0.05),"OK - richtig",IF(ABS(G42-5)&lt;0.05,"Ergebnis stimmt - bitte als Formel eingeben!","noch nicht richtig")))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1:C2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22" customWidth="1" min="2" max="2"/>
  </cols>
  <sheetData>
    <row r="1" ht="22" customHeight="1">
      <c r="B1" s="1" t="inlineStr">
        <is>
          <t>Zielbild 1 - fertiges Säulendiagramm</t>
        </is>
      </c>
    </row>
    <row r="2">
      <c r="B2" s="15" t="inlineStr">
        <is>
          <t>Klicke das Diagramm an und sieh dir die Einstellungen an.</t>
        </is>
      </c>
    </row>
    <row r="4">
      <c r="B4" s="11" t="inlineStr">
        <is>
          <t>Land</t>
        </is>
      </c>
      <c r="C4" s="11" t="inlineStr">
        <is>
          <t>Bevölkerung [Mio.]</t>
        </is>
      </c>
    </row>
    <row r="5">
      <c r="B5" s="16" t="inlineStr">
        <is>
          <t>China</t>
        </is>
      </c>
      <c r="C5" s="17" t="n">
        <v>1390</v>
      </c>
    </row>
    <row r="6">
      <c r="B6" s="16" t="inlineStr">
        <is>
          <t>Indien</t>
        </is>
      </c>
      <c r="C6" s="17" t="n">
        <v>1344</v>
      </c>
    </row>
    <row r="7">
      <c r="B7" s="16" t="inlineStr">
        <is>
          <t>USA</t>
        </is>
      </c>
      <c r="C7" s="17" t="n">
        <v>328</v>
      </c>
    </row>
    <row r="8">
      <c r="B8" s="16" t="inlineStr">
        <is>
          <t>Russland</t>
        </is>
      </c>
      <c r="C8" s="17" t="n">
        <v>143</v>
      </c>
    </row>
    <row r="9">
      <c r="B9" s="16" t="inlineStr">
        <is>
          <t>Japan</t>
        </is>
      </c>
      <c r="C9" s="17" t="n">
        <v>126</v>
      </c>
    </row>
    <row r="10">
      <c r="B10" s="16" t="inlineStr">
        <is>
          <t>Deutschland</t>
        </is>
      </c>
      <c r="C10" s="17" t="n">
        <v>83</v>
      </c>
    </row>
    <row r="11">
      <c r="B11" s="16" t="inlineStr">
        <is>
          <t>Türkei</t>
        </is>
      </c>
      <c r="C11" s="17" t="n">
        <v>81</v>
      </c>
    </row>
    <row r="12">
      <c r="B12" s="16" t="inlineStr">
        <is>
          <t>Thailand</t>
        </is>
      </c>
      <c r="C12" s="17" t="n">
        <v>69</v>
      </c>
    </row>
    <row r="13">
      <c r="B13" s="16" t="inlineStr">
        <is>
          <t>Großbritannien</t>
        </is>
      </c>
      <c r="C13" s="17" t="n">
        <v>66</v>
      </c>
    </row>
    <row r="14">
      <c r="B14" s="16" t="inlineStr">
        <is>
          <t>Frankreich</t>
        </is>
      </c>
      <c r="C14" s="17" t="n">
        <v>65</v>
      </c>
    </row>
    <row r="15">
      <c r="B15" s="16" t="inlineStr">
        <is>
          <t>Italien</t>
        </is>
      </c>
      <c r="C15" s="17" t="n">
        <v>62</v>
      </c>
    </row>
    <row r="16">
      <c r="B16" s="16" t="inlineStr">
        <is>
          <t>Kolumbien</t>
        </is>
      </c>
      <c r="C16" s="17" t="n">
        <v>50</v>
      </c>
    </row>
    <row r="17">
      <c r="B17" s="16" t="inlineStr">
        <is>
          <t>Spanien</t>
        </is>
      </c>
      <c r="C17" s="17" t="n">
        <v>46</v>
      </c>
    </row>
    <row r="18">
      <c r="B18" s="16" t="inlineStr">
        <is>
          <t>Nepal</t>
        </is>
      </c>
      <c r="C18" s="17" t="n">
        <v>30</v>
      </c>
    </row>
    <row r="19">
      <c r="B19" s="16" t="inlineStr">
        <is>
          <t>Niederlande</t>
        </is>
      </c>
      <c r="C19" s="17" t="n">
        <v>17</v>
      </c>
    </row>
    <row r="20">
      <c r="B20" s="16" t="inlineStr">
        <is>
          <t>Österreich</t>
        </is>
      </c>
      <c r="C20" s="17" t="n">
        <v>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B1:I4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46" customWidth="1" min="9" max="9"/>
  </cols>
  <sheetData>
    <row r="1" ht="22" customHeight="1">
      <c r="B1" s="1" t="inlineStr">
        <is>
          <t>2  Verbunddiagramm mit Sekundärachse</t>
        </is>
      </c>
    </row>
    <row r="2">
      <c r="B2" s="15" t="inlineStr">
        <is>
          <t>Kapitel: Visualisierung - Diagramme</t>
        </is>
      </c>
    </row>
    <row r="4" ht="42" customHeight="1">
      <c r="B4" s="14" t="inlineStr">
        <is>
          <t>Umsatz liegt im fünfstelligen Bereich, Umsatz pro Kunde im dreistelligen. In einem gemeinsamen Diagramm mit nur einer Achse wäre die zweite Reihe unsichtbar - genau dafür gibt es die Sekundärachse.</t>
        </is>
      </c>
    </row>
    <row r="6" ht="30" customHeight="1">
      <c r="B6" s="11" t="inlineStr">
        <is>
          <t>Datum</t>
        </is>
      </c>
      <c r="C6" s="11" t="inlineStr">
        <is>
          <t>Umsatz</t>
        </is>
      </c>
      <c r="D6" s="11" t="inlineStr">
        <is>
          <t>Einheiten</t>
        </is>
      </c>
      <c r="E6" s="11" t="inlineStr">
        <is>
          <t>Kunden</t>
        </is>
      </c>
      <c r="F6" s="11" t="inlineStr">
        <is>
          <t>Umsatz pro Einheit</t>
        </is>
      </c>
      <c r="G6" s="11" t="inlineStr">
        <is>
          <t>Umsatz pro Kunde</t>
        </is>
      </c>
    </row>
    <row r="7">
      <c r="B7" s="25" t="n">
        <v>46113</v>
      </c>
      <c r="C7" s="17" t="n">
        <v>18366</v>
      </c>
      <c r="D7" s="17" t="n">
        <v>1782</v>
      </c>
      <c r="E7" s="17" t="n">
        <v>194</v>
      </c>
      <c r="F7" s="26">
        <f>IFERROR($C7/D7,"Fehler")</f>
        <v/>
      </c>
      <c r="G7" s="26">
        <f>IFERROR($C7/E7,"Fehler")</f>
        <v/>
      </c>
    </row>
    <row r="8">
      <c r="B8" s="25" t="n">
        <v>46114</v>
      </c>
      <c r="C8" s="17" t="n">
        <v>18096</v>
      </c>
      <c r="D8" s="17" t="n">
        <v>1234</v>
      </c>
      <c r="E8" s="17" t="n">
        <v>168</v>
      </c>
      <c r="F8" s="26">
        <f>IFERROR($C8/D8,"Fehler")</f>
        <v/>
      </c>
      <c r="G8" s="26">
        <f>IFERROR($C8/E8,"Fehler")</f>
        <v/>
      </c>
    </row>
    <row r="9">
      <c r="B9" s="25" t="n">
        <v>46115</v>
      </c>
      <c r="C9" s="17" t="n">
        <v>19634</v>
      </c>
      <c r="D9" s="17" t="n">
        <v>1711</v>
      </c>
      <c r="E9" s="17" t="n">
        <v>182</v>
      </c>
      <c r="F9" s="26">
        <f>IFERROR($C9/D9,"Fehler")</f>
        <v/>
      </c>
      <c r="G9" s="26">
        <f>IFERROR($C9/E9,"Fehler")</f>
        <v/>
      </c>
    </row>
    <row r="10">
      <c r="B10" s="25" t="n">
        <v>46116</v>
      </c>
      <c r="C10" s="17" t="n">
        <v>17260</v>
      </c>
      <c r="D10" s="17" t="n">
        <v>1137</v>
      </c>
      <c r="E10" s="17" t="n">
        <v>145</v>
      </c>
      <c r="F10" s="26">
        <f>IFERROR($C10/D10,"Fehler")</f>
        <v/>
      </c>
      <c r="G10" s="26">
        <f>IFERROR($C10/E10,"Fehler")</f>
        <v/>
      </c>
    </row>
    <row r="11">
      <c r="B11" s="25" t="n">
        <v>46117</v>
      </c>
      <c r="C11" s="17" t="n">
        <v>19574</v>
      </c>
      <c r="D11" s="17" t="n">
        <v>1194</v>
      </c>
      <c r="E11" s="17" t="n">
        <v>148</v>
      </c>
      <c r="F11" s="26">
        <f>IFERROR($C11/D11,"Fehler")</f>
        <v/>
      </c>
      <c r="G11" s="26">
        <f>IFERROR($C11/E11,"Fehler")</f>
        <v/>
      </c>
    </row>
    <row r="12">
      <c r="B12" s="25" t="n">
        <v>46118</v>
      </c>
      <c r="C12" s="17" t="n">
        <v>16421</v>
      </c>
      <c r="D12" s="17" t="n">
        <v>1867</v>
      </c>
      <c r="E12" s="17" t="n">
        <v>122</v>
      </c>
      <c r="F12" s="26">
        <f>IFERROR($C12/D12,"Fehler")</f>
        <v/>
      </c>
      <c r="G12" s="26">
        <f>IFERROR($C12/E12,"Fehler")</f>
        <v/>
      </c>
    </row>
    <row r="13">
      <c r="B13" s="25" t="n">
        <v>46119</v>
      </c>
      <c r="C13" s="17" t="n">
        <v>15871</v>
      </c>
      <c r="D13" s="17" t="n">
        <v>1181</v>
      </c>
      <c r="E13" s="17" t="n">
        <v>169</v>
      </c>
      <c r="F13" s="26">
        <f>IFERROR($C13/D13,"Fehler")</f>
        <v/>
      </c>
      <c r="G13" s="26">
        <f>IFERROR($C13/E13,"Fehler")</f>
        <v/>
      </c>
    </row>
    <row r="14">
      <c r="B14" s="25" t="n">
        <v>46120</v>
      </c>
      <c r="C14" s="17" t="n">
        <v>18351</v>
      </c>
      <c r="D14" s="17" t="n">
        <v>1864</v>
      </c>
      <c r="E14" s="17" t="n">
        <v>153</v>
      </c>
      <c r="F14" s="26">
        <f>IFERROR($C14/D14,"Fehler")</f>
        <v/>
      </c>
      <c r="G14" s="26">
        <f>IFERROR($C14/E14,"Fehler")</f>
        <v/>
      </c>
    </row>
    <row r="15">
      <c r="B15" s="25" t="n">
        <v>46121</v>
      </c>
      <c r="C15" s="17" t="n">
        <v>17650</v>
      </c>
      <c r="D15" s="17" t="n">
        <v>1480</v>
      </c>
      <c r="E15" s="17" t="n">
        <v>116</v>
      </c>
      <c r="F15" s="26">
        <f>IFERROR($C15/D15,"Fehler")</f>
        <v/>
      </c>
      <c r="G15" s="26">
        <f>IFERROR($C15/E15,"Fehler")</f>
        <v/>
      </c>
    </row>
    <row r="16">
      <c r="B16" s="25" t="n">
        <v>46122</v>
      </c>
      <c r="C16" s="17" t="n">
        <v>10640</v>
      </c>
      <c r="D16" s="17" t="n">
        <v>1287</v>
      </c>
      <c r="E16" s="17" t="n">
        <v>144</v>
      </c>
      <c r="F16" s="26">
        <f>IFERROR($C16/D16,"Fehler")</f>
        <v/>
      </c>
      <c r="G16" s="26">
        <f>IFERROR($C16/E16,"Fehler")</f>
        <v/>
      </c>
    </row>
    <row r="17">
      <c r="B17" s="25" t="n">
        <v>46123</v>
      </c>
      <c r="C17" s="17" t="n">
        <v>13752</v>
      </c>
      <c r="D17" s="17" t="n">
        <v>1558</v>
      </c>
      <c r="E17" s="17" t="n">
        <v>149</v>
      </c>
      <c r="F17" s="26">
        <f>IFERROR($C17/D17,"Fehler")</f>
        <v/>
      </c>
      <c r="G17" s="26">
        <f>IFERROR($C17/E17,"Fehler")</f>
        <v/>
      </c>
    </row>
    <row r="18">
      <c r="B18" s="25" t="n">
        <v>46124</v>
      </c>
      <c r="C18" s="17" t="n">
        <v>13709</v>
      </c>
      <c r="D18" s="17" t="n">
        <v>1453</v>
      </c>
      <c r="E18" s="17" t="n">
        <v>192</v>
      </c>
      <c r="F18" s="26">
        <f>IFERROR($C18/D18,"Fehler")</f>
        <v/>
      </c>
      <c r="G18" s="26">
        <f>IFERROR($C18/E18,"Fehler")</f>
        <v/>
      </c>
    </row>
    <row r="19">
      <c r="B19" s="25" t="n">
        <v>46125</v>
      </c>
      <c r="C19" s="17" t="n">
        <v>12980</v>
      </c>
      <c r="D19" s="17" t="n">
        <v>1500</v>
      </c>
      <c r="E19" s="17" t="n">
        <v>185</v>
      </c>
      <c r="F19" s="26">
        <f>IFERROR($C19/D19,"Fehler")</f>
        <v/>
      </c>
      <c r="G19" s="26">
        <f>IFERROR($C19/E19,"Fehler")</f>
        <v/>
      </c>
    </row>
    <row r="20">
      <c r="B20" s="25" t="n">
        <v>46126</v>
      </c>
      <c r="C20" s="17" t="n">
        <v>15913</v>
      </c>
      <c r="D20" s="17" t="n">
        <v>1550</v>
      </c>
      <c r="E20" s="17" t="n">
        <v>143</v>
      </c>
      <c r="F20" s="26">
        <f>IFERROR($C20/D20,"Fehler")</f>
        <v/>
      </c>
      <c r="G20" s="26">
        <f>IFERROR($C20/E20,"Fehler")</f>
        <v/>
      </c>
    </row>
    <row r="21">
      <c r="B21" s="25" t="n">
        <v>46127</v>
      </c>
      <c r="C21" s="17" t="n">
        <v>12297</v>
      </c>
      <c r="D21" s="17" t="n">
        <v>1234</v>
      </c>
      <c r="E21" s="17" t="n">
        <v>166</v>
      </c>
      <c r="F21" s="26">
        <f>IFERROR($C21/D21,"Fehler")</f>
        <v/>
      </c>
      <c r="G21" s="26">
        <f>IFERROR($C21/E21,"Fehler")</f>
        <v/>
      </c>
    </row>
    <row r="22">
      <c r="B22" s="25" t="n">
        <v>46128</v>
      </c>
      <c r="C22" s="17" t="n">
        <v>14820</v>
      </c>
      <c r="D22" s="17" t="n">
        <v>1390</v>
      </c>
      <c r="E22" s="17" t="n">
        <v>158</v>
      </c>
      <c r="F22" s="26">
        <f>IFERROR($C22/D22,"Fehler")</f>
        <v/>
      </c>
      <c r="G22" s="26">
        <f>IFERROR($C22/E22,"Fehler")</f>
        <v/>
      </c>
    </row>
    <row r="23">
      <c r="B23" s="25" t="n">
        <v>46129</v>
      </c>
      <c r="C23" s="17" t="n">
        <v>16005</v>
      </c>
      <c r="D23" s="17" t="n">
        <v>1620</v>
      </c>
      <c r="E23" s="17" t="n">
        <v>171</v>
      </c>
      <c r="F23" s="26">
        <f>IFERROR($C23/D23,"Fehler")</f>
        <v/>
      </c>
      <c r="G23" s="26">
        <f>IFERROR($C23/E23,"Fehler")</f>
        <v/>
      </c>
    </row>
    <row r="24">
      <c r="B24" s="25" t="n">
        <v>46130</v>
      </c>
      <c r="C24" s="17" t="n">
        <v>17311</v>
      </c>
      <c r="D24" s="17" t="n">
        <v>1705</v>
      </c>
      <c r="E24" s="17" t="n">
        <v>180</v>
      </c>
      <c r="F24" s="26">
        <f>IFERROR($C24/D24,"Fehler")</f>
        <v/>
      </c>
      <c r="G24" s="26">
        <f>IFERROR($C24/E24,"Fehler")</f>
        <v/>
      </c>
    </row>
    <row r="25">
      <c r="B25" s="25" t="n">
        <v>46131</v>
      </c>
      <c r="C25" s="17" t="n">
        <v>15240</v>
      </c>
      <c r="D25" s="17" t="n">
        <v>1488</v>
      </c>
      <c r="E25" s="17" t="n">
        <v>160</v>
      </c>
      <c r="F25" s="26">
        <f>IFERROR($C25/D25,"Fehler")</f>
        <v/>
      </c>
      <c r="G25" s="26">
        <f>IFERROR($C25/E25,"Fehler")</f>
        <v/>
      </c>
    </row>
    <row r="26">
      <c r="B26" s="25" t="n">
        <v>46132</v>
      </c>
      <c r="C26" s="17" t="n">
        <v>18902</v>
      </c>
      <c r="D26" s="17" t="n">
        <v>1811</v>
      </c>
      <c r="E26" s="17" t="n">
        <v>177</v>
      </c>
      <c r="F26" s="26">
        <f>IFERROR($C26/D26,"Fehler")</f>
        <v/>
      </c>
      <c r="G26" s="26">
        <f>IFERROR($C26/E26,"Fehler")</f>
        <v/>
      </c>
    </row>
    <row r="29">
      <c r="B29" s="3" t="inlineStr">
        <is>
          <t>Arbeite die folgenden Schritte der Reihe nach ab</t>
        </is>
      </c>
    </row>
    <row r="30" ht="42" customHeight="1">
      <c r="B30" s="20" t="inlineStr">
        <is>
          <t xml:space="preserve"> 1.  Markiere den gesamten Datenbereich und füge ein Verbunddiagramm ein (Einfügen - Diagramme - Verbund - Benutzerdefiniert).</t>
        </is>
      </c>
    </row>
    <row r="31" ht="28" customHeight="1">
      <c r="B31" s="20" t="inlineStr">
        <is>
          <t xml:space="preserve"> 2.  Filtere die nicht benötigten Reihen heraus: nur Umsatz und Umsatz pro Kunde bleiben übrig.</t>
        </is>
      </c>
    </row>
    <row r="32" ht="42" customHeight="1">
      <c r="B32" s="20" t="inlineStr">
        <is>
          <t xml:space="preserve"> 3.  Stelle Umsatz auf gruppierte Säulen, Umsatz pro Kunde auf Linie mit Datenpunkten - und setze bei Umsatz pro Kunde den Haken bei Sekundärachse.</t>
        </is>
      </c>
    </row>
    <row r="33" ht="28" customHeight="1">
      <c r="B33" s="20" t="inlineStr">
        <is>
          <t xml:space="preserve"> 4.  Mache die Linie durchsichtig (Keine Linie) und färbe die Datenpunkte rot.</t>
        </is>
      </c>
    </row>
    <row r="34" ht="28" customHeight="1">
      <c r="B34" s="20" t="inlineStr">
        <is>
          <t xml:space="preserve"> 5.  Füge für die Linie Datenbeschriftungen hinzu und platziere sie oberhalb.</t>
        </is>
      </c>
    </row>
    <row r="35" ht="28" customHeight="1">
      <c r="B35" s="20" t="inlineStr">
        <is>
          <t xml:space="preserve"> 6.  Stelle das Zahlenformat der Datenbeschriftung auf null Nachkommastellen und formatiere sie fett.</t>
        </is>
      </c>
    </row>
    <row r="36" ht="28" customHeight="1">
      <c r="B36" s="20" t="inlineStr">
        <is>
          <t xml:space="preserve"> 7.  Stelle auch die Sekundärachse auf null Nachkommastellen und blende sie dann aus (Beschriftungsoption Ohne).</t>
        </is>
      </c>
    </row>
    <row r="37" ht="14" customHeight="1">
      <c r="B37" s="20" t="inlineStr">
        <is>
          <t xml:space="preserve"> 8.  Ändere den Diagrammtitel auf  Umsatzentwicklung</t>
        </is>
      </c>
    </row>
    <row r="38" ht="14" customHeight="1">
      <c r="B38" s="20" t="inlineStr">
        <is>
          <t xml:space="preserve"> 9.  Vergleiche dein Ergebnis mit dem Blatt "Zielbild 2".</t>
        </is>
      </c>
    </row>
    <row r="40">
      <c r="B40" s="11" t="inlineStr">
        <is>
          <t>Verständnisfrage</t>
        </is>
      </c>
      <c r="C40" s="11" t="inlineStr">
        <is>
          <t>dein Ergebnis</t>
        </is>
      </c>
      <c r="D40" s="11" t="inlineStr">
        <is>
          <t>Kontrolle</t>
        </is>
      </c>
    </row>
    <row r="41">
      <c r="B41" s="21" t="inlineStr">
        <is>
          <t>Höchster Umsatz pro Kunde</t>
        </is>
      </c>
      <c r="H41" s="27" t="n"/>
      <c r="I41" s="23">
        <f>IF(H41="","Kontrolle",IF(AND(_xlfn.ISFORMULA(H41),ABS(H41-152.1552)&lt;0.02),"OK - richtig",IF(ABS(H41-152.1552)&lt;0.02,"Ergebnis stimmt - bitte als Formel eingeben!","noch nicht richtig")))</f>
        <v/>
      </c>
    </row>
    <row r="42">
      <c r="B42" s="21" t="inlineStr">
        <is>
          <t>Niedrigster Umsatz pro Kunde</t>
        </is>
      </c>
      <c r="H42" s="27" t="n"/>
      <c r="I42" s="23">
        <f>IF(H42="","Kontrolle",IF(AND(_xlfn.ISFORMULA(H42),ABS(H42-70.1622)&lt;0.02),"OK - richtig",IF(ABS(H42-70.1622)&lt;0.02,"Ergebnis stimmt - bitte als Formel eingeben!","noch nicht richtig")))</f>
        <v/>
      </c>
    </row>
    <row r="43">
      <c r="B43" s="21" t="inlineStr">
        <is>
          <t>Gesamtumsatz aller Tage</t>
        </is>
      </c>
      <c r="H43" s="24" t="n"/>
      <c r="I43" s="23">
        <f>IF(H43="","Kontrolle",IF(AND(_xlfn.ISFORMULA(H43),ABS(H43-322792)&lt;0.02),"OK - richtig",IF(ABS(H43-322792)&lt;0.02,"Ergebnis stimmt - bitte als Formel eingeben!","noch nicht richtig")))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B1:D24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8" customWidth="1" min="3" max="3"/>
    <col width="18" customWidth="1" min="4" max="4"/>
  </cols>
  <sheetData>
    <row r="1" ht="22" customHeight="1">
      <c r="B1" s="1" t="inlineStr">
        <is>
          <t>Zielbild 2 - fertiges Verbunddiagramm</t>
        </is>
      </c>
    </row>
    <row r="2">
      <c r="B2" s="15" t="inlineStr">
        <is>
          <t>Klicke das Diagramm an und sieh dir die Einstellungen an.</t>
        </is>
      </c>
    </row>
    <row r="4">
      <c r="B4" s="11" t="inlineStr">
        <is>
          <t>Datum</t>
        </is>
      </c>
      <c r="C4" s="11" t="inlineStr">
        <is>
          <t>Umsatz</t>
        </is>
      </c>
      <c r="D4" s="11" t="inlineStr">
        <is>
          <t>Umsatz pro Kunde</t>
        </is>
      </c>
    </row>
    <row r="5">
      <c r="B5" s="25" t="n">
        <v>46113</v>
      </c>
      <c r="C5" s="17" t="n">
        <v>18366</v>
      </c>
      <c r="D5" s="17" t="n">
        <v>94.67</v>
      </c>
    </row>
    <row r="6">
      <c r="B6" s="25" t="n">
        <v>46114</v>
      </c>
      <c r="C6" s="17" t="n">
        <v>18096</v>
      </c>
      <c r="D6" s="17" t="n">
        <v>107.71</v>
      </c>
    </row>
    <row r="7">
      <c r="B7" s="25" t="n">
        <v>46115</v>
      </c>
      <c r="C7" s="17" t="n">
        <v>19634</v>
      </c>
      <c r="D7" s="17" t="n">
        <v>107.88</v>
      </c>
    </row>
    <row r="8">
      <c r="B8" s="25" t="n">
        <v>46116</v>
      </c>
      <c r="C8" s="17" t="n">
        <v>17260</v>
      </c>
      <c r="D8" s="17" t="n">
        <v>119.03</v>
      </c>
    </row>
    <row r="9">
      <c r="B9" s="25" t="n">
        <v>46117</v>
      </c>
      <c r="C9" s="17" t="n">
        <v>19574</v>
      </c>
      <c r="D9" s="17" t="n">
        <v>132.26</v>
      </c>
    </row>
    <row r="10">
      <c r="B10" s="25" t="n">
        <v>46118</v>
      </c>
      <c r="C10" s="17" t="n">
        <v>16421</v>
      </c>
      <c r="D10" s="17" t="n">
        <v>134.6</v>
      </c>
    </row>
    <row r="11">
      <c r="B11" s="25" t="n">
        <v>46119</v>
      </c>
      <c r="C11" s="17" t="n">
        <v>15871</v>
      </c>
      <c r="D11" s="17" t="n">
        <v>93.91</v>
      </c>
    </row>
    <row r="12">
      <c r="B12" s="25" t="n">
        <v>46120</v>
      </c>
      <c r="C12" s="17" t="n">
        <v>18351</v>
      </c>
      <c r="D12" s="17" t="n">
        <v>119.94</v>
      </c>
    </row>
    <row r="13">
      <c r="B13" s="25" t="n">
        <v>46121</v>
      </c>
      <c r="C13" s="17" t="n">
        <v>17650</v>
      </c>
      <c r="D13" s="17" t="n">
        <v>152.16</v>
      </c>
    </row>
    <row r="14">
      <c r="B14" s="25" t="n">
        <v>46122</v>
      </c>
      <c r="C14" s="17" t="n">
        <v>10640</v>
      </c>
      <c r="D14" s="17" t="n">
        <v>73.89</v>
      </c>
    </row>
    <row r="15">
      <c r="B15" s="25" t="n">
        <v>46123</v>
      </c>
      <c r="C15" s="17" t="n">
        <v>13752</v>
      </c>
      <c r="D15" s="17" t="n">
        <v>92.3</v>
      </c>
    </row>
    <row r="16">
      <c r="B16" s="25" t="n">
        <v>46124</v>
      </c>
      <c r="C16" s="17" t="n">
        <v>13709</v>
      </c>
      <c r="D16" s="17" t="n">
        <v>71.40000000000001</v>
      </c>
    </row>
    <row r="17">
      <c r="B17" s="25" t="n">
        <v>46125</v>
      </c>
      <c r="C17" s="17" t="n">
        <v>12980</v>
      </c>
      <c r="D17" s="17" t="n">
        <v>70.16</v>
      </c>
    </row>
    <row r="18">
      <c r="B18" s="25" t="n">
        <v>46126</v>
      </c>
      <c r="C18" s="17" t="n">
        <v>15913</v>
      </c>
      <c r="D18" s="17" t="n">
        <v>111.28</v>
      </c>
    </row>
    <row r="19">
      <c r="B19" s="25" t="n">
        <v>46127</v>
      </c>
      <c r="C19" s="17" t="n">
        <v>12297</v>
      </c>
      <c r="D19" s="17" t="n">
        <v>74.08</v>
      </c>
    </row>
    <row r="20">
      <c r="B20" s="25" t="n">
        <v>46128</v>
      </c>
      <c r="C20" s="17" t="n">
        <v>14820</v>
      </c>
      <c r="D20" s="17" t="n">
        <v>93.8</v>
      </c>
    </row>
    <row r="21">
      <c r="B21" s="25" t="n">
        <v>46129</v>
      </c>
      <c r="C21" s="17" t="n">
        <v>16005</v>
      </c>
      <c r="D21" s="17" t="n">
        <v>93.59999999999999</v>
      </c>
    </row>
    <row r="22">
      <c r="B22" s="25" t="n">
        <v>46130</v>
      </c>
      <c r="C22" s="17" t="n">
        <v>17311</v>
      </c>
      <c r="D22" s="17" t="n">
        <v>96.17</v>
      </c>
    </row>
    <row r="23">
      <c r="B23" s="25" t="n">
        <v>46131</v>
      </c>
      <c r="C23" s="17" t="n">
        <v>15240</v>
      </c>
      <c r="D23" s="17" t="n">
        <v>95.25</v>
      </c>
    </row>
    <row r="24">
      <c r="B24" s="25" t="n">
        <v>46132</v>
      </c>
      <c r="C24" s="17" t="n">
        <v>18902</v>
      </c>
      <c r="D24" s="17" t="n">
        <v>106.79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B1:E47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6" customWidth="1" min="3" max="3"/>
    <col width="16" customWidth="1" min="4" max="4"/>
    <col width="40" customWidth="1" min="5" max="5"/>
    <col width="16" customWidth="1" min="6" max="6"/>
    <col width="60" customWidth="1" min="8" max="8"/>
  </cols>
  <sheetData>
    <row r="1" ht="22" customHeight="1">
      <c r="B1" s="1" t="inlineStr">
        <is>
          <t>3  Den passenden Diagrammtyp wählen</t>
        </is>
      </c>
    </row>
    <row r="2">
      <c r="B2" s="15" t="inlineStr">
        <is>
          <t>Kapitel: Visualisierung - Diagramme</t>
        </is>
      </c>
    </row>
    <row r="4" ht="28" customHeight="1">
      <c r="B4" s="14" t="inlineStr">
        <is>
          <t>Nicht jeder Diagrammtyp passt zu jeder Fragestellung. Ordne zuerst zu, dann baue die drei Diagramme.</t>
        </is>
      </c>
    </row>
    <row r="6">
      <c r="B6" s="11" t="inlineStr">
        <is>
          <t>Fragestellung</t>
        </is>
      </c>
      <c r="C6" s="11" t="inlineStr">
        <is>
          <t>passender Typ</t>
        </is>
      </c>
      <c r="D6" s="11" t="inlineStr">
        <is>
          <t>Kontrolle</t>
        </is>
      </c>
    </row>
    <row r="7">
      <c r="B7" s="13" t="inlineStr">
        <is>
          <t>Wie verteilt sich der Umsatz auf die vier Vertriebskanäle?</t>
        </is>
      </c>
      <c r="C7" s="4" t="n"/>
      <c r="E7" s="23">
        <f>IF(C7="","Kontrolle",IF(EXACT(C7,"Kreisdiagramm"),"OK - richtig","noch nicht richtig"))</f>
        <v/>
      </c>
    </row>
    <row r="8">
      <c r="B8" s="13" t="inlineStr">
        <is>
          <t>Wie hat sich der Umsatz über zwölf Monate entwickelt?</t>
        </is>
      </c>
      <c r="C8" s="4" t="n"/>
      <c r="E8" s="23">
        <f>IF(C8="","Kontrolle",IF(EXACT(C8,"Liniendiagramm"),"OK - richtig","noch nicht richtig"))</f>
        <v/>
      </c>
    </row>
    <row r="9">
      <c r="B9" s="13" t="inlineStr">
        <is>
          <t>Hängt der Umsatz mit der Anzahl der Kundenbesuche zusammen?</t>
        </is>
      </c>
      <c r="C9" s="4" t="n"/>
      <c r="E9" s="23">
        <f>IF(C9="","Kontrolle",IF(EXACT(C9,"Punktdiagramm"),"OK - richtig","noch nicht richtig"))</f>
        <v/>
      </c>
    </row>
    <row r="10">
      <c r="B10" s="13" t="inlineStr">
        <is>
          <t>Wie viel hat jede Filiale im letzten Quartal umgesetzt?</t>
        </is>
      </c>
      <c r="C10" s="4" t="n"/>
      <c r="E10" s="23">
        <f>IF(C10="","Kontrolle",IF(EXACT(C10,"Säulendiagramm"),"OK - richtig","noch nicht richtig"))</f>
        <v/>
      </c>
    </row>
    <row r="12" ht="45" customHeight="1">
      <c r="B12" s="28" t="inlineStr">
        <is>
          <t>Aufgabe 1:  Erstelle aus der Kanaltabelle ein Kreisdiagramm mit Datenbeschriftungen in Prozent und ohne Legende - stattdessen mit Rubrikennamen an den Segmenten.</t>
        </is>
      </c>
    </row>
    <row r="13">
      <c r="B13" s="11" t="inlineStr">
        <is>
          <t>Vertriebskanal</t>
        </is>
      </c>
      <c r="C13" s="11" t="inlineStr">
        <is>
          <t>Umsatz</t>
        </is>
      </c>
    </row>
    <row r="14">
      <c r="B14" s="16" t="inlineStr">
        <is>
          <t>Onlineshop</t>
        </is>
      </c>
      <c r="C14" s="17" t="n">
        <v>412000</v>
      </c>
    </row>
    <row r="15">
      <c r="B15" s="16" t="inlineStr">
        <is>
          <t>Filialen</t>
        </is>
      </c>
      <c r="C15" s="17" t="n">
        <v>286000</v>
      </c>
    </row>
    <row r="16">
      <c r="B16" s="16" t="inlineStr">
        <is>
          <t>Großhandel</t>
        </is>
      </c>
      <c r="C16" s="17" t="n">
        <v>178000</v>
      </c>
    </row>
    <row r="17">
      <c r="B17" s="16" t="inlineStr">
        <is>
          <t>Export</t>
        </is>
      </c>
      <c r="C17" s="17" t="n">
        <v>94000</v>
      </c>
    </row>
    <row r="19" ht="30" customHeight="1">
      <c r="B19" s="28" t="inlineStr">
        <is>
          <t>Aufgabe 2:  Erstelle aus der Monatstabelle ein Liniendiagramm mit Datenpunkten und einer Trendlinie (Diagrammelement hinzufügen - Trendlinie - Linear).</t>
        </is>
      </c>
    </row>
    <row r="20">
      <c r="B20" s="11" t="inlineStr">
        <is>
          <t>Monat</t>
        </is>
      </c>
      <c r="C20" s="11" t="inlineStr">
        <is>
          <t>Umsatz [Tsd. EUR]</t>
        </is>
      </c>
    </row>
    <row r="21">
      <c r="B21" s="16" t="inlineStr">
        <is>
          <t>Jän</t>
        </is>
      </c>
      <c r="C21" s="17" t="n">
        <v>102</v>
      </c>
    </row>
    <row r="22">
      <c r="B22" s="16" t="inlineStr">
        <is>
          <t>Feb</t>
        </is>
      </c>
      <c r="C22" s="17" t="n">
        <v>118</v>
      </c>
    </row>
    <row r="23">
      <c r="B23" s="16" t="inlineStr">
        <is>
          <t>Mär</t>
        </is>
      </c>
      <c r="C23" s="17" t="n">
        <v>96</v>
      </c>
    </row>
    <row r="24">
      <c r="B24" s="16" t="inlineStr">
        <is>
          <t>Apr</t>
        </is>
      </c>
      <c r="C24" s="17" t="n">
        <v>134</v>
      </c>
    </row>
    <row r="25">
      <c r="B25" s="16" t="inlineStr">
        <is>
          <t>Mai</t>
        </is>
      </c>
      <c r="C25" s="17" t="n">
        <v>141</v>
      </c>
    </row>
    <row r="26">
      <c r="B26" s="16" t="inlineStr">
        <is>
          <t>Jun</t>
        </is>
      </c>
      <c r="C26" s="17" t="n">
        <v>128</v>
      </c>
    </row>
    <row r="27">
      <c r="B27" s="16" t="inlineStr">
        <is>
          <t>Jul</t>
        </is>
      </c>
      <c r="C27" s="17" t="n">
        <v>115</v>
      </c>
    </row>
    <row r="28">
      <c r="B28" s="16" t="inlineStr">
        <is>
          <t>Aug</t>
        </is>
      </c>
      <c r="C28" s="17" t="n">
        <v>109</v>
      </c>
    </row>
    <row r="29">
      <c r="B29" s="16" t="inlineStr">
        <is>
          <t>Sep</t>
        </is>
      </c>
      <c r="C29" s="17" t="n">
        <v>147</v>
      </c>
    </row>
    <row r="30">
      <c r="B30" s="16" t="inlineStr">
        <is>
          <t>Okt</t>
        </is>
      </c>
      <c r="C30" s="17" t="n">
        <v>162</v>
      </c>
    </row>
    <row r="31">
      <c r="B31" s="16" t="inlineStr">
        <is>
          <t>Nov</t>
        </is>
      </c>
      <c r="C31" s="17" t="n">
        <v>155</v>
      </c>
    </row>
    <row r="32">
      <c r="B32" s="16" t="inlineStr">
        <is>
          <t>Dez</t>
        </is>
      </c>
      <c r="C32" s="17" t="n">
        <v>171</v>
      </c>
    </row>
    <row r="34" ht="45" customHeight="1">
      <c r="B34" s="28" t="inlineStr">
        <is>
          <t>Aufgabe 3:  Erstelle aus der Besuchstabelle ein Punktdiagramm (XY) mit Kundenbesuchen auf der X-Achse und Umsatz auf der Y-Achse. Ergänze eine lineare Trendlinie und lass das Bestimmtheitsmaß R² anzeigen.</t>
        </is>
      </c>
    </row>
    <row r="35">
      <c r="B35" s="11" t="inlineStr">
        <is>
          <t>Kundenbesuche</t>
        </is>
      </c>
      <c r="C35" s="11" t="inlineStr">
        <is>
          <t>Umsatz [Tsd. EUR]</t>
        </is>
      </c>
    </row>
    <row r="36">
      <c r="B36" s="17" t="n">
        <v>12</v>
      </c>
      <c r="C36" s="17" t="n">
        <v>48</v>
      </c>
    </row>
    <row r="37">
      <c r="B37" s="17" t="n">
        <v>18</v>
      </c>
      <c r="C37" s="17" t="n">
        <v>61</v>
      </c>
    </row>
    <row r="38">
      <c r="B38" s="17" t="n">
        <v>7</v>
      </c>
      <c r="C38" s="17" t="n">
        <v>33</v>
      </c>
    </row>
    <row r="39">
      <c r="B39" s="17" t="n">
        <v>25</v>
      </c>
      <c r="C39" s="17" t="n">
        <v>88</v>
      </c>
    </row>
    <row r="40">
      <c r="B40" s="17" t="n">
        <v>15</v>
      </c>
      <c r="C40" s="17" t="n">
        <v>55</v>
      </c>
    </row>
    <row r="41">
      <c r="B41" s="17" t="n">
        <v>30</v>
      </c>
      <c r="C41" s="17" t="n">
        <v>96</v>
      </c>
    </row>
    <row r="42">
      <c r="B42" s="17" t="n">
        <v>9</v>
      </c>
      <c r="C42" s="17" t="n">
        <v>40</v>
      </c>
    </row>
    <row r="43">
      <c r="B43" s="17" t="n">
        <v>22</v>
      </c>
      <c r="C43" s="17" t="n">
        <v>74</v>
      </c>
    </row>
    <row r="44">
      <c r="B44" s="17" t="n">
        <v>28</v>
      </c>
      <c r="C44" s="17" t="n">
        <v>91</v>
      </c>
    </row>
    <row r="45">
      <c r="B45" s="17" t="n">
        <v>5</v>
      </c>
      <c r="C45" s="17" t="n">
        <v>25</v>
      </c>
    </row>
    <row r="46">
      <c r="B46" s="17" t="n">
        <v>20</v>
      </c>
      <c r="C46" s="17" t="n">
        <v>70</v>
      </c>
    </row>
    <row r="47">
      <c r="B47" s="17" t="n">
        <v>16</v>
      </c>
      <c r="C47" s="17" t="n">
        <v>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B1:D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4" customWidth="1" min="3" max="3"/>
    <col width="100" customWidth="1" min="4" max="4"/>
  </cols>
  <sheetData>
    <row r="1" ht="22" customHeight="1">
      <c r="B1" s="1" t="inlineStr">
        <is>
          <t>Lösungen</t>
        </is>
      </c>
    </row>
    <row r="2">
      <c r="B2" s="15" t="inlineStr">
        <is>
          <t>Nur nachsehen, wenn du wirklich nicht weiterkommst!</t>
        </is>
      </c>
    </row>
    <row r="4">
      <c r="B4" s="11" t="inlineStr">
        <is>
          <t>Arbeitsblatt</t>
        </is>
      </c>
      <c r="C4" s="11" t="inlineStr">
        <is>
          <t>Aufgabe</t>
        </is>
      </c>
      <c r="D4" s="11" t="inlineStr">
        <is>
          <t>Lösung</t>
        </is>
      </c>
    </row>
    <row r="5" ht="13" customHeight="1">
      <c r="B5" s="29" t="inlineStr">
        <is>
          <t>1 Säulendiagramm</t>
        </is>
      </c>
      <c r="C5" s="13" t="inlineStr">
        <is>
          <t>Achse ausblenden</t>
        </is>
      </c>
      <c r="D5" s="30" t="inlineStr">
        <is>
          <t>Achse anklicken - Achse formatieren - Beschriftungen - Beschriftungsposition: Ohne</t>
        </is>
      </c>
    </row>
    <row r="6" ht="13" customHeight="1">
      <c r="B6" s="29" t="inlineStr"/>
      <c r="C6" s="13" t="inlineStr">
        <is>
          <t>Säulenbreite</t>
        </is>
      </c>
      <c r="D6" s="30" t="inlineStr">
        <is>
          <t>Datenreihe formatieren - Reihenoptionen - Abstandsbreite 50 %</t>
        </is>
      </c>
    </row>
    <row r="7" ht="13" customHeight="1">
      <c r="B7" s="29" t="inlineStr"/>
      <c r="C7" s="13" t="inlineStr">
        <is>
          <t>Exakte Größe</t>
        </is>
      </c>
      <c r="D7" s="30" t="inlineStr">
        <is>
          <t>Diagrammbereich formatieren - Größe und Eigenschaften - Höhe 8 cm, Breite 18 cm</t>
        </is>
      </c>
    </row>
    <row r="8" ht="13" customHeight="1">
      <c r="B8" s="29" t="inlineStr"/>
      <c r="C8" s="13" t="inlineStr">
        <is>
          <t>Diagramm umbenennen</t>
        </is>
      </c>
      <c r="D8" s="30" t="inlineStr">
        <is>
          <t>ALT + F10 - Auswahlbereich - Doppelklick auf den Namen</t>
        </is>
      </c>
    </row>
    <row r="9" ht="13" customHeight="1">
      <c r="B9" s="29" t="inlineStr">
        <is>
          <t>2 Verbunddiagramm</t>
        </is>
      </c>
      <c r="C9" s="13" t="inlineStr">
        <is>
          <t>Sekundärachse</t>
        </is>
      </c>
      <c r="D9" s="30" t="inlineStr">
        <is>
          <t>Diagrammtyp ändern - Verbund - bei der zweiten Reihe Haken bei Sekundärachse</t>
        </is>
      </c>
    </row>
    <row r="10" ht="13" customHeight="1">
      <c r="B10" s="29" t="inlineStr"/>
      <c r="C10" s="13" t="inlineStr">
        <is>
          <t>Linie unsichtbar</t>
        </is>
      </c>
      <c r="D10" s="30" t="inlineStr">
        <is>
          <t>Datenreihe formatieren - Linie - Keine Linie; Markierung - Gefüllt - Rot</t>
        </is>
      </c>
    </row>
    <row r="11" ht="13" customHeight="1">
      <c r="B11" s="29" t="inlineStr"/>
      <c r="C11" s="13" t="inlineStr">
        <is>
          <t>Datenbeschriftung</t>
        </is>
      </c>
      <c r="D11" s="30" t="inlineStr">
        <is>
          <t>Diagrammelement hinzufügen - Datenbeschriftungen - Oben; Zahlenformat #.##0</t>
        </is>
      </c>
    </row>
    <row r="12" ht="13" customHeight="1">
      <c r="B12" s="29" t="inlineStr"/>
      <c r="C12" s="13" t="inlineStr">
        <is>
          <t>Kennzahlen</t>
        </is>
      </c>
      <c r="D12" s="30" t="inlineStr">
        <is>
          <t>MAX Umsatz/Kunde = 152.16   MIN = 70.16   Gesamtumsatz = 322.792</t>
        </is>
      </c>
    </row>
    <row r="13" ht="26" customHeight="1">
      <c r="B13" s="29" t="inlineStr">
        <is>
          <t>3 Weitere Typen</t>
        </is>
      </c>
      <c r="C13" s="13" t="inlineStr">
        <is>
          <t>Zuordnung</t>
        </is>
      </c>
      <c r="D13" s="30" t="inlineStr">
        <is>
          <t>Anteile am Ganzen -&gt; Kreisdiagramm  |  Verlauf über die Zeit -&gt; Liniendiagramm  |  Zusammenhang zweier Größen -&gt; Punktdiagramm  |  Vergleich von Kategorien -&gt; Säulendiagramm</t>
        </is>
      </c>
    </row>
    <row r="14" ht="13" customHeight="1">
      <c r="B14" s="29" t="inlineStr"/>
      <c r="C14" s="13" t="inlineStr">
        <is>
          <t>Prozent im Kreisdiagramm</t>
        </is>
      </c>
      <c r="D14" s="30" t="inlineStr">
        <is>
          <t>Datenbeschriftungen formatieren - Prozentsatz statt Wert, Rubrikenname anhaken</t>
        </is>
      </c>
    </row>
    <row r="15" ht="13" customHeight="1">
      <c r="B15" s="29" t="inlineStr"/>
      <c r="C15" s="13" t="inlineStr">
        <is>
          <t>Trendlinie</t>
        </is>
      </c>
      <c r="D15" s="30" t="inlineStr">
        <is>
          <t>Diagrammelement hinzufügen - Trendlinie - Linear; im Formatbereich Bestimmtheitsmaß anzeigen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2026-08-21T07:38:52Z</dcterms:created>
  <dcterms:modified xsi:type="dcterms:W3CDTF">2026-08-21T07:38:52Z</dcterms:modified>
</cp:coreProperties>
</file>